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irtable Input" sheetId="2" state="visible" r:id="rId4"/>
    <sheet name="Publer Outpu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<sst xmlns="http://schemas.openxmlformats.org/spreadsheetml/2006/main" count="70" uniqueCount="69">
  <si>
    <t xml:space="preserve">CTS Social · Airtable → Publer CSV Converter</t>
  </si>
  <si>
    <r>
      <rPr>
        <i val="true"/>
        <sz val="12"/>
        <color rgb="FF1F2937"/>
        <rFont val="DejaVu Sans"/>
        <family val="2"/>
      </rPr>
      <t xml:space="preserve">每周批量排期工作流（方案 </t>
    </r>
    <r>
      <rPr>
        <i val="true"/>
        <sz val="12"/>
        <color rgb="FF1F2937"/>
        <rFont val="Arial"/>
        <family val="0"/>
        <charset val="1"/>
      </rPr>
      <t xml:space="preserve">C · </t>
    </r>
    <r>
      <rPr>
        <i val="true"/>
        <sz val="12"/>
        <color rgb="FF1F2937"/>
        <rFont val="DejaVu Sans"/>
        <family val="2"/>
      </rPr>
      <t xml:space="preserve">无 </t>
    </r>
    <r>
      <rPr>
        <i val="true"/>
        <sz val="12"/>
        <color rgb="FF1F2937"/>
        <rFont val="Arial"/>
        <family val="0"/>
        <charset val="1"/>
      </rPr>
      <t xml:space="preserve">Zapier</t>
    </r>
    <r>
      <rPr>
        <i val="true"/>
        <sz val="12"/>
        <color rgb="FF1F2937"/>
        <rFont val="DejaVu Sans"/>
        <family val="2"/>
      </rPr>
      <t xml:space="preserve">）</t>
    </r>
  </si>
  <si>
    <t xml:space="preserve">Step 1 · Airtable</t>
  </si>
  <si>
    <r>
      <rPr>
        <sz val="11"/>
        <color rgb="FF1F2937"/>
        <rFont val="DejaVu Sans"/>
        <family val="2"/>
      </rPr>
      <t xml:space="preserve">在 </t>
    </r>
    <r>
      <rPr>
        <sz val="11"/>
        <color rgb="FF1F2937"/>
        <rFont val="Arial"/>
        <family val="0"/>
        <charset val="1"/>
      </rPr>
      <t xml:space="preserve">Airtable </t>
    </r>
    <r>
      <rPr>
        <sz val="11"/>
        <color rgb="FF1F2937"/>
        <rFont val="DejaVu Sans"/>
        <family val="2"/>
      </rPr>
      <t xml:space="preserve">的 </t>
    </r>
    <r>
      <rPr>
        <sz val="11"/>
        <color rgb="FF1F2937"/>
        <rFont val="Arial"/>
        <family val="0"/>
        <charset val="1"/>
      </rPr>
      <t xml:space="preserve">'Zapier_Ready' </t>
    </r>
    <r>
      <rPr>
        <sz val="11"/>
        <color rgb="FF1F2937"/>
        <rFont val="DejaVu Sans"/>
        <family val="2"/>
      </rPr>
      <t xml:space="preserve">视图里，挑好本批要发的帖子，确保 </t>
    </r>
    <r>
      <rPr>
        <sz val="11"/>
        <color rgb="FF1F2937"/>
        <rFont val="Arial"/>
        <family val="0"/>
        <charset val="1"/>
      </rPr>
      <t xml:space="preserve">Status=ready</t>
    </r>
    <r>
      <rPr>
        <sz val="11"/>
        <color rgb="FF1F2937"/>
        <rFont val="DejaVu Sans"/>
        <family val="2"/>
      </rPr>
      <t xml:space="preserve">、有 </t>
    </r>
    <r>
      <rPr>
        <sz val="11"/>
        <color rgb="FF1F2937"/>
        <rFont val="Arial"/>
        <family val="0"/>
        <charset val="1"/>
      </rPr>
      <t xml:space="preserve">Image_URL</t>
    </r>
    <r>
      <rPr>
        <sz val="11"/>
        <color rgb="FF1F2937"/>
        <rFont val="DejaVu Sans"/>
        <family val="2"/>
      </rPr>
      <t xml:space="preserve">、有 </t>
    </r>
    <r>
      <rPr>
        <sz val="11"/>
        <color rgb="FF1F2937"/>
        <rFont val="Arial"/>
        <family val="0"/>
        <charset val="1"/>
      </rPr>
      <t xml:space="preserve">Caption_EN</t>
    </r>
    <r>
      <rPr>
        <sz val="11"/>
        <color rgb="FF1F2937"/>
        <rFont val="DejaVu Sans"/>
        <family val="2"/>
      </rPr>
      <t xml:space="preserve">。</t>
    </r>
  </si>
  <si>
    <r>
      <rPr>
        <b val="true"/>
        <sz val="12"/>
        <color rgb="FFB61E2E"/>
        <rFont val="Arial"/>
        <family val="0"/>
        <charset val="1"/>
      </rPr>
      <t xml:space="preserve">Step 2 · </t>
    </r>
    <r>
      <rPr>
        <b val="true"/>
        <sz val="12"/>
        <color rgb="FFB61E2E"/>
        <rFont val="DejaVu Sans"/>
        <family val="2"/>
      </rPr>
      <t xml:space="preserve">导出 </t>
    </r>
    <r>
      <rPr>
        <b val="true"/>
        <sz val="12"/>
        <color rgb="FFB61E2E"/>
        <rFont val="Arial"/>
        <family val="0"/>
        <charset val="1"/>
      </rPr>
      <t xml:space="preserve">CSV</t>
    </r>
  </si>
  <si>
    <r>
      <rPr>
        <sz val="11"/>
        <color rgb="FF1F2937"/>
        <rFont val="Arial"/>
        <family val="0"/>
        <charset val="1"/>
      </rPr>
      <t xml:space="preserve">Airtable </t>
    </r>
    <r>
      <rPr>
        <sz val="11"/>
        <color rgb="FF1F2937"/>
        <rFont val="DejaVu Sans"/>
        <family val="2"/>
      </rPr>
      <t xml:space="preserve">视图右上 </t>
    </r>
    <r>
      <rPr>
        <sz val="11"/>
        <color rgb="FF1F2937"/>
        <rFont val="Arial"/>
        <family val="0"/>
        <charset val="1"/>
      </rPr>
      <t xml:space="preserve">Share and Sync → Download CSV</t>
    </r>
    <r>
      <rPr>
        <sz val="11"/>
        <color rgb="FF1F2937"/>
        <rFont val="DejaVu Sans"/>
        <family val="2"/>
      </rPr>
      <t xml:space="preserve">。得到一个 </t>
    </r>
    <r>
      <rPr>
        <sz val="11"/>
        <color rgb="FF1F2937"/>
        <rFont val="Arial"/>
        <family val="0"/>
        <charset val="1"/>
      </rPr>
      <t xml:space="preserve">.csv </t>
    </r>
    <r>
      <rPr>
        <sz val="11"/>
        <color rgb="FF1F2937"/>
        <rFont val="DejaVu Sans"/>
        <family val="2"/>
      </rPr>
      <t xml:space="preserve">文件。</t>
    </r>
  </si>
  <si>
    <r>
      <rPr>
        <b val="true"/>
        <sz val="12"/>
        <color rgb="FFB61E2E"/>
        <rFont val="Arial"/>
        <family val="0"/>
        <charset val="1"/>
      </rPr>
      <t xml:space="preserve">Step 3 · </t>
    </r>
    <r>
      <rPr>
        <b val="true"/>
        <sz val="12"/>
        <color rgb="FFB61E2E"/>
        <rFont val="DejaVu Sans"/>
        <family val="2"/>
      </rPr>
      <t xml:space="preserve">粘贴到此模板</t>
    </r>
  </si>
  <si>
    <r>
      <rPr>
        <sz val="11"/>
        <color rgb="FF1F2937"/>
        <rFont val="DejaVu Sans"/>
        <family val="2"/>
      </rPr>
      <t xml:space="preserve">打开那个 </t>
    </r>
    <r>
      <rPr>
        <sz val="11"/>
        <color rgb="FF1F2937"/>
        <rFont val="Arial"/>
        <family val="0"/>
        <charset val="1"/>
      </rPr>
      <t xml:space="preserve">.csv</t>
    </r>
    <r>
      <rPr>
        <sz val="11"/>
        <color rgb="FF1F2937"/>
        <rFont val="DejaVu Sans"/>
        <family val="2"/>
      </rPr>
      <t xml:space="preserve">（用 </t>
    </r>
    <r>
      <rPr>
        <sz val="11"/>
        <color rgb="FF1F2937"/>
        <rFont val="Arial"/>
        <family val="0"/>
        <charset val="1"/>
      </rPr>
      <t xml:space="preserve">Excel </t>
    </r>
    <r>
      <rPr>
        <sz val="11"/>
        <color rgb="FF1F2937"/>
        <rFont val="DejaVu Sans"/>
        <family val="2"/>
      </rPr>
      <t xml:space="preserve">或 </t>
    </r>
    <r>
      <rPr>
        <sz val="11"/>
        <color rgb="FF1F2937"/>
        <rFont val="Arial"/>
        <family val="0"/>
        <charset val="1"/>
      </rPr>
      <t xml:space="preserve">Numbers</t>
    </r>
    <r>
      <rPr>
        <sz val="11"/>
        <color rgb="FF1F2937"/>
        <rFont val="DejaVu Sans"/>
        <family val="2"/>
      </rPr>
      <t xml:space="preserve">）→ </t>
    </r>
    <r>
      <rPr>
        <sz val="11"/>
        <color rgb="FF1F2937"/>
        <rFont val="Arial"/>
        <family val="0"/>
        <charset val="1"/>
      </rPr>
      <t xml:space="preserve">Ctrl+A </t>
    </r>
    <r>
      <rPr>
        <sz val="11"/>
        <color rgb="FF1F2937"/>
        <rFont val="DejaVu Sans"/>
        <family val="2"/>
      </rPr>
      <t xml:space="preserve">全选 → 复制 → 粘贴到本文件的 </t>
    </r>
    <r>
      <rPr>
        <sz val="11"/>
        <color rgb="FF1F2937"/>
        <rFont val="Arial"/>
        <family val="0"/>
        <charset val="1"/>
      </rPr>
      <t xml:space="preserve">'Airtable Input' sheet </t>
    </r>
    <r>
      <rPr>
        <sz val="11"/>
        <color rgb="FF1F2937"/>
        <rFont val="DejaVu Sans"/>
        <family val="2"/>
      </rPr>
      <t xml:space="preserve">的 </t>
    </r>
    <r>
      <rPr>
        <sz val="11"/>
        <color rgb="FF1F2937"/>
        <rFont val="Arial"/>
        <family val="0"/>
        <charset val="1"/>
      </rPr>
      <t xml:space="preserve">A1 </t>
    </r>
    <r>
      <rPr>
        <sz val="11"/>
        <color rgb="FF1F2937"/>
        <rFont val="DejaVu Sans"/>
        <family val="2"/>
      </rPr>
      <t xml:space="preserve">开始。</t>
    </r>
  </si>
  <si>
    <r>
      <rPr>
        <b val="true"/>
        <sz val="12"/>
        <color rgb="FFB61E2E"/>
        <rFont val="Arial"/>
        <family val="0"/>
        <charset val="1"/>
      </rPr>
      <t xml:space="preserve">Step 4 · </t>
    </r>
    <r>
      <rPr>
        <b val="true"/>
        <sz val="12"/>
        <color rgb="FFB61E2E"/>
        <rFont val="DejaVu Sans"/>
        <family val="2"/>
      </rPr>
      <t xml:space="preserve">看 </t>
    </r>
    <r>
      <rPr>
        <b val="true"/>
        <sz val="12"/>
        <color rgb="FFB61E2E"/>
        <rFont val="Arial"/>
        <family val="0"/>
        <charset val="1"/>
      </rPr>
      <t xml:space="preserve">Publer Output</t>
    </r>
  </si>
  <si>
    <r>
      <rPr>
        <sz val="11"/>
        <color rgb="FF1F2937"/>
        <rFont val="DejaVu Sans"/>
        <family val="2"/>
      </rPr>
      <t xml:space="preserve">切到 </t>
    </r>
    <r>
      <rPr>
        <sz val="11"/>
        <color rgb="FF1F2937"/>
        <rFont val="Arial"/>
        <family val="0"/>
        <charset val="1"/>
      </rPr>
      <t xml:space="preserve">'Publer Output' sheet</t>
    </r>
    <r>
      <rPr>
        <sz val="11"/>
        <color rgb="FF1F2937"/>
        <rFont val="DejaVu Sans"/>
        <family val="2"/>
      </rPr>
      <t xml:space="preserve">，公式会自动填好 </t>
    </r>
    <r>
      <rPr>
        <sz val="11"/>
        <color rgb="FF1F2937"/>
        <rFont val="Arial"/>
        <family val="0"/>
        <charset val="1"/>
      </rPr>
      <t xml:space="preserve">Publer </t>
    </r>
    <r>
      <rPr>
        <sz val="11"/>
        <color rgb="FF1F2937"/>
        <rFont val="DejaVu Sans"/>
        <family val="2"/>
      </rPr>
      <t xml:space="preserve">要求的 </t>
    </r>
    <r>
      <rPr>
        <sz val="11"/>
        <color rgb="FF1F2937"/>
        <rFont val="Arial"/>
        <family val="0"/>
        <charset val="1"/>
      </rPr>
      <t xml:space="preserve">12 </t>
    </r>
    <r>
      <rPr>
        <sz val="11"/>
        <color rgb="FF1F2937"/>
        <rFont val="DejaVu Sans"/>
        <family val="2"/>
      </rPr>
      <t xml:space="preserve">列格式。</t>
    </r>
  </si>
  <si>
    <r>
      <rPr>
        <b val="true"/>
        <sz val="12"/>
        <color rgb="FFB61E2E"/>
        <rFont val="Arial"/>
        <family val="0"/>
        <charset val="1"/>
      </rPr>
      <t xml:space="preserve">Step 5 · </t>
    </r>
    <r>
      <rPr>
        <b val="true"/>
        <sz val="12"/>
        <color rgb="FFB61E2E"/>
        <rFont val="DejaVu Sans"/>
        <family val="2"/>
      </rPr>
      <t xml:space="preserve">另存为 </t>
    </r>
    <r>
      <rPr>
        <b val="true"/>
        <sz val="12"/>
        <color rgb="FFB61E2E"/>
        <rFont val="Arial"/>
        <family val="0"/>
        <charset val="1"/>
      </rPr>
      <t xml:space="preserve">CSV</t>
    </r>
  </si>
  <si>
    <r>
      <rPr>
        <sz val="11"/>
        <color rgb="FF1F2937"/>
        <rFont val="Arial"/>
        <family val="0"/>
        <charset val="1"/>
      </rPr>
      <t xml:space="preserve">File → Save As → </t>
    </r>
    <r>
      <rPr>
        <sz val="11"/>
        <color rgb="FF1F2937"/>
        <rFont val="DejaVu Sans"/>
        <family val="2"/>
      </rPr>
      <t xml:space="preserve">格式选 </t>
    </r>
    <r>
      <rPr>
        <sz val="11"/>
        <color rgb="FF1F2937"/>
        <rFont val="Arial"/>
        <family val="0"/>
        <charset val="1"/>
      </rPr>
      <t xml:space="preserve">CSV UTF-8 (.csv) → </t>
    </r>
    <r>
      <rPr>
        <sz val="11"/>
        <color rgb="FF1F2937"/>
        <rFont val="DejaVu Sans"/>
        <family val="2"/>
      </rPr>
      <t xml:space="preserve">命名比如 </t>
    </r>
    <r>
      <rPr>
        <sz val="11"/>
        <color rgb="FF1F2937"/>
        <rFont val="Arial"/>
        <family val="0"/>
        <charset val="1"/>
      </rPr>
      <t xml:space="preserve">'cts-week1-to-publer.csv'</t>
    </r>
    <r>
      <rPr>
        <sz val="11"/>
        <color rgb="FF1F2937"/>
        <rFont val="DejaVu Sans"/>
        <family val="2"/>
      </rPr>
      <t xml:space="preserve">。注意：只保存 </t>
    </r>
    <r>
      <rPr>
        <sz val="11"/>
        <color rgb="FF1F2937"/>
        <rFont val="Arial"/>
        <family val="0"/>
        <charset val="1"/>
      </rPr>
      <t xml:space="preserve">'Publer Output' </t>
    </r>
    <r>
      <rPr>
        <sz val="11"/>
        <color rgb="FF1F2937"/>
        <rFont val="DejaVu Sans"/>
        <family val="2"/>
      </rPr>
      <t xml:space="preserve">这个 </t>
    </r>
    <r>
      <rPr>
        <sz val="11"/>
        <color rgb="FF1F2937"/>
        <rFont val="Arial"/>
        <family val="0"/>
        <charset val="1"/>
      </rPr>
      <t xml:space="preserve">sheet</t>
    </r>
    <r>
      <rPr>
        <sz val="11"/>
        <color rgb="FF1F2937"/>
        <rFont val="DejaVu Sans"/>
        <family val="2"/>
      </rPr>
      <t xml:space="preserve">！</t>
    </r>
  </si>
  <si>
    <r>
      <rPr>
        <b val="true"/>
        <sz val="12"/>
        <color rgb="FFB61E2E"/>
        <rFont val="Arial"/>
        <family val="0"/>
        <charset val="1"/>
      </rPr>
      <t xml:space="preserve">Step 6 · Publer </t>
    </r>
    <r>
      <rPr>
        <b val="true"/>
        <sz val="12"/>
        <color rgb="FFB61E2E"/>
        <rFont val="DejaVu Sans"/>
        <family val="2"/>
      </rPr>
      <t xml:space="preserve">批量上传</t>
    </r>
  </si>
  <si>
    <r>
      <rPr>
        <sz val="11"/>
        <color rgb="FF1F2937"/>
        <rFont val="DejaVu Sans"/>
        <family val="2"/>
      </rPr>
      <t xml:space="preserve">打开 </t>
    </r>
    <r>
      <rPr>
        <sz val="11"/>
        <color rgb="FF1F2937"/>
        <rFont val="Arial"/>
        <family val="0"/>
        <charset val="1"/>
      </rPr>
      <t xml:space="preserve">app.publer.com → Create</t>
    </r>
    <r>
      <rPr>
        <sz val="11"/>
        <color rgb="FF1F2937"/>
        <rFont val="DejaVu Sans"/>
        <family val="2"/>
      </rPr>
      <t xml:space="preserve">（绿色按钮） → </t>
    </r>
    <r>
      <rPr>
        <sz val="11"/>
        <color rgb="FF1F2937"/>
        <rFont val="Arial"/>
        <family val="0"/>
        <charset val="1"/>
      </rPr>
      <t xml:space="preserve">Bulk Options → Import CSV → </t>
    </r>
    <r>
      <rPr>
        <sz val="11"/>
        <color rgb="FF1F2937"/>
        <rFont val="DejaVu Sans"/>
        <family val="2"/>
      </rPr>
      <t xml:space="preserve">拖入刚才的文件。</t>
    </r>
  </si>
  <si>
    <r>
      <rPr>
        <b val="true"/>
        <sz val="12"/>
        <color rgb="FFB61E2E"/>
        <rFont val="Arial"/>
        <family val="0"/>
        <charset val="1"/>
      </rPr>
      <t xml:space="preserve">Step 7 · </t>
    </r>
    <r>
      <rPr>
        <b val="true"/>
        <sz val="12"/>
        <color rgb="FFB61E2E"/>
        <rFont val="DejaVu Sans"/>
        <family val="2"/>
      </rPr>
      <t xml:space="preserve">审核 </t>
    </r>
    <r>
      <rPr>
        <b val="true"/>
        <sz val="12"/>
        <color rgb="FFB61E2E"/>
        <rFont val="Arial"/>
        <family val="0"/>
        <charset val="1"/>
      </rPr>
      <t xml:space="preserve">&amp; </t>
    </r>
    <r>
      <rPr>
        <b val="true"/>
        <sz val="12"/>
        <color rgb="FFB61E2E"/>
        <rFont val="DejaVu Sans"/>
        <family val="2"/>
      </rPr>
      <t xml:space="preserve">排期</t>
    </r>
  </si>
  <si>
    <r>
      <rPr>
        <sz val="11"/>
        <color rgb="FF1F2937"/>
        <rFont val="Arial"/>
        <family val="0"/>
        <charset val="1"/>
      </rPr>
      <t xml:space="preserve">Publer </t>
    </r>
    <r>
      <rPr>
        <sz val="11"/>
        <color rgb="FF1F2937"/>
        <rFont val="DejaVu Sans"/>
        <family val="2"/>
      </rPr>
      <t xml:space="preserve">会显示每条帖子的预览。检查：图片是否加载、</t>
    </r>
    <r>
      <rPr>
        <sz val="11"/>
        <color rgb="FF1F2937"/>
        <rFont val="Arial"/>
        <family val="0"/>
        <charset val="1"/>
      </rPr>
      <t xml:space="preserve">caption </t>
    </r>
    <r>
      <rPr>
        <sz val="11"/>
        <color rgb="FF1F2937"/>
        <rFont val="DejaVu Sans"/>
        <family val="2"/>
      </rPr>
      <t xml:space="preserve">是否完整、日期是否正确。没问题点 </t>
    </r>
    <r>
      <rPr>
        <sz val="11"/>
        <color rgb="FF1F2937"/>
        <rFont val="Arial"/>
        <family val="0"/>
        <charset val="1"/>
      </rPr>
      <t xml:space="preserve">Submit</t>
    </r>
    <r>
      <rPr>
        <sz val="11"/>
        <color rgb="FF1F2937"/>
        <rFont val="DejaVu Sans"/>
        <family val="2"/>
      </rPr>
      <t xml:space="preserve">。</t>
    </r>
  </si>
  <si>
    <r>
      <rPr>
        <b val="true"/>
        <sz val="12"/>
        <color rgb="FFB61E2E"/>
        <rFont val="Arial"/>
        <family val="0"/>
        <charset val="1"/>
      </rPr>
      <t xml:space="preserve">Step 8 · </t>
    </r>
    <r>
      <rPr>
        <b val="true"/>
        <sz val="12"/>
        <color rgb="FFB61E2E"/>
        <rFont val="DejaVu Sans"/>
        <family val="2"/>
      </rPr>
      <t xml:space="preserve">回 </t>
    </r>
    <r>
      <rPr>
        <b val="true"/>
        <sz val="12"/>
        <color rgb="FFB61E2E"/>
        <rFont val="Arial"/>
        <family val="0"/>
        <charset val="1"/>
      </rPr>
      <t xml:space="preserve">Airtable </t>
    </r>
    <r>
      <rPr>
        <b val="true"/>
        <sz val="12"/>
        <color rgb="FFB61E2E"/>
        <rFont val="DejaVu Sans"/>
        <family val="2"/>
      </rPr>
      <t xml:space="preserve">标记</t>
    </r>
  </si>
  <si>
    <r>
      <rPr>
        <sz val="11"/>
        <color rgb="FF1F2937"/>
        <rFont val="DejaVu Sans"/>
        <family val="2"/>
      </rPr>
      <t xml:space="preserve">把这批已发的 </t>
    </r>
    <r>
      <rPr>
        <sz val="11"/>
        <color rgb="FF1F2937"/>
        <rFont val="Arial"/>
        <family val="0"/>
        <charset val="1"/>
      </rPr>
      <t xml:space="preserve">Airtable </t>
    </r>
    <r>
      <rPr>
        <sz val="11"/>
        <color rgb="FF1F2937"/>
        <rFont val="DejaVu Sans"/>
        <family val="2"/>
      </rPr>
      <t xml:space="preserve">记录 </t>
    </r>
    <r>
      <rPr>
        <sz val="11"/>
        <color rgb="FF1F2937"/>
        <rFont val="Arial"/>
        <family val="0"/>
        <charset val="1"/>
      </rPr>
      <t xml:space="preserve">Status </t>
    </r>
    <r>
      <rPr>
        <sz val="11"/>
        <color rgb="FF1F2937"/>
        <rFont val="DejaVu Sans"/>
        <family val="2"/>
      </rPr>
      <t xml:space="preserve">改成 </t>
    </r>
    <r>
      <rPr>
        <sz val="11"/>
        <color rgb="FF1F2937"/>
        <rFont val="Arial"/>
        <family val="0"/>
        <charset val="1"/>
      </rPr>
      <t xml:space="preserve">'Scheduled'</t>
    </r>
    <r>
      <rPr>
        <sz val="11"/>
        <color rgb="FF1F2937"/>
        <rFont val="DejaVu Sans"/>
        <family val="2"/>
      </rPr>
      <t xml:space="preserve">，</t>
    </r>
    <r>
      <rPr>
        <sz val="11"/>
        <color rgb="FF1F2937"/>
        <rFont val="Arial"/>
        <family val="0"/>
        <charset val="1"/>
      </rPr>
      <t xml:space="preserve">Zapier_Synced </t>
    </r>
    <r>
      <rPr>
        <sz val="11"/>
        <color rgb="FF1F2937"/>
        <rFont val="DejaVu Sans"/>
        <family val="2"/>
      </rPr>
      <t xml:space="preserve">打勾（手动）。以后这个模板可以升级成自动回写。</t>
    </r>
  </si>
  <si>
    <t xml:space="preserve">重要规则</t>
  </si>
  <si>
    <r>
      <rPr>
        <sz val="11"/>
        <color rgb="FF1F2937"/>
        <rFont val="Arial"/>
        <family val="0"/>
        <charset val="1"/>
      </rPr>
      <t xml:space="preserve">✓ Image URL </t>
    </r>
    <r>
      <rPr>
        <sz val="11"/>
        <color rgb="FF1F2937"/>
        <rFont val="DejaVu Sans"/>
        <family val="2"/>
      </rPr>
      <t xml:space="preserve">必须是公开可访问的（你的 </t>
    </r>
    <r>
      <rPr>
        <sz val="11"/>
        <color rgb="FF1F2937"/>
        <rFont val="Arial"/>
        <family val="0"/>
        <charset val="1"/>
      </rPr>
      <t xml:space="preserve">Supabase Storage </t>
    </r>
    <r>
      <rPr>
        <sz val="11"/>
        <color rgb="FF1F2937"/>
        <rFont val="DejaVu Sans"/>
        <family val="2"/>
      </rPr>
      <t xml:space="preserve">直链 </t>
    </r>
    <r>
      <rPr>
        <sz val="11"/>
        <color rgb="FF1F2937"/>
        <rFont val="Arial"/>
        <family val="0"/>
        <charset val="1"/>
      </rPr>
      <t xml:space="preserve">OK</t>
    </r>
    <r>
      <rPr>
        <sz val="11"/>
        <color rgb="FF1F2937"/>
        <rFont val="DejaVu Sans"/>
        <family val="2"/>
      </rPr>
      <t xml:space="preserve">；</t>
    </r>
    <r>
      <rPr>
        <sz val="11"/>
        <color rgb="FF1F2937"/>
        <rFont val="Arial"/>
        <family val="0"/>
        <charset val="1"/>
      </rPr>
      <t xml:space="preserve">Google Drive </t>
    </r>
    <r>
      <rPr>
        <sz val="11"/>
        <color rgb="FF1F2937"/>
        <rFont val="DejaVu Sans"/>
        <family val="2"/>
      </rPr>
      <t xml:space="preserve">私链不行）</t>
    </r>
  </si>
  <si>
    <r>
      <rPr>
        <sz val="11"/>
        <color rgb="FF1F2937"/>
        <rFont val="Arial"/>
        <family val="0"/>
        <charset val="1"/>
      </rPr>
      <t xml:space="preserve">✓ Date </t>
    </r>
    <r>
      <rPr>
        <sz val="11"/>
        <color rgb="FF1F2937"/>
        <rFont val="DejaVu Sans"/>
        <family val="2"/>
      </rPr>
      <t xml:space="preserve">格式：</t>
    </r>
    <r>
      <rPr>
        <sz val="11"/>
        <color rgb="FF1F2937"/>
        <rFont val="Arial"/>
        <family val="0"/>
        <charset val="1"/>
      </rPr>
      <t xml:space="preserve">Publer </t>
    </r>
    <r>
      <rPr>
        <sz val="11"/>
        <color rgb="FF1F2937"/>
        <rFont val="DejaVu Sans"/>
        <family val="2"/>
      </rPr>
      <t xml:space="preserve">要 </t>
    </r>
    <r>
      <rPr>
        <sz val="11"/>
        <color rgb="FF1F2937"/>
        <rFont val="Arial"/>
        <family val="0"/>
        <charset val="1"/>
      </rPr>
      <t xml:space="preserve">YYYY/MM/DD HH:MM</t>
    </r>
    <r>
      <rPr>
        <sz val="11"/>
        <color rgb="FF1F2937"/>
        <rFont val="DejaVu Sans"/>
        <family val="2"/>
      </rPr>
      <t xml:space="preserve">（模板公式自动转，不用手动）</t>
    </r>
  </si>
  <si>
    <r>
      <rPr>
        <sz val="11"/>
        <color rgb="FF1F2937"/>
        <rFont val="DejaVu Sans"/>
        <family val="2"/>
      </rPr>
      <t xml:space="preserve">✓ 一次 </t>
    </r>
    <r>
      <rPr>
        <sz val="11"/>
        <color rgb="FF1F2937"/>
        <rFont val="Arial"/>
        <family val="0"/>
        <charset val="1"/>
      </rPr>
      <t xml:space="preserve">CSV </t>
    </r>
    <r>
      <rPr>
        <sz val="11"/>
        <color rgb="FF1F2937"/>
        <rFont val="DejaVu Sans"/>
        <family val="2"/>
      </rPr>
      <t xml:space="preserve">只推到一个平台 </t>
    </r>
    <r>
      <rPr>
        <sz val="11"/>
        <color rgb="FF1F2937"/>
        <rFont val="Arial"/>
        <family val="0"/>
        <charset val="1"/>
      </rPr>
      <t xml:space="preserve">bundle</t>
    </r>
    <r>
      <rPr>
        <sz val="11"/>
        <color rgb="FF1F2937"/>
        <rFont val="DejaVu Sans"/>
        <family val="2"/>
      </rPr>
      <t xml:space="preserve">：</t>
    </r>
    <r>
      <rPr>
        <sz val="11"/>
        <color rgb="FF1F2937"/>
        <rFont val="Arial"/>
        <family val="0"/>
        <charset val="1"/>
      </rPr>
      <t xml:space="preserve">Publer UI </t>
    </r>
    <r>
      <rPr>
        <sz val="11"/>
        <color rgb="FF1F2937"/>
        <rFont val="DejaVu Sans"/>
        <family val="2"/>
      </rPr>
      <t xml:space="preserve">里勾 </t>
    </r>
    <r>
      <rPr>
        <sz val="11"/>
        <color rgb="FF1F2937"/>
        <rFont val="Arial"/>
        <family val="0"/>
        <charset val="1"/>
      </rPr>
      <t xml:space="preserve">FB </t>
    </r>
    <r>
      <rPr>
        <sz val="11"/>
        <color rgb="FF1F2937"/>
        <rFont val="DejaVu Sans"/>
        <family val="2"/>
      </rPr>
      <t xml:space="preserve">还是 </t>
    </r>
    <r>
      <rPr>
        <sz val="11"/>
        <color rgb="FF1F2937"/>
        <rFont val="Arial"/>
        <family val="0"/>
        <charset val="1"/>
      </rPr>
      <t xml:space="preserve">IG </t>
    </r>
    <r>
      <rPr>
        <sz val="11"/>
        <color rgb="FF1F2937"/>
        <rFont val="DejaVu Sans"/>
        <family val="2"/>
      </rPr>
      <t xml:space="preserve">是在上传后选的</t>
    </r>
  </si>
  <si>
    <r>
      <rPr>
        <sz val="11"/>
        <color rgb="FF1F2937"/>
        <rFont val="DejaVu Sans"/>
        <family val="2"/>
      </rPr>
      <t xml:space="preserve">✓ 一次最多 </t>
    </r>
    <r>
      <rPr>
        <sz val="11"/>
        <color rgb="FF1F2937"/>
        <rFont val="Arial"/>
        <family val="0"/>
        <charset val="1"/>
      </rPr>
      <t xml:space="preserve">500 </t>
    </r>
    <r>
      <rPr>
        <sz val="11"/>
        <color rgb="FF1F2937"/>
        <rFont val="DejaVu Sans"/>
        <family val="2"/>
      </rPr>
      <t xml:space="preserve">条，你 </t>
    </r>
    <r>
      <rPr>
        <sz val="11"/>
        <color rgb="FF1F2937"/>
        <rFont val="Arial"/>
        <family val="0"/>
        <charset val="1"/>
      </rPr>
      <t xml:space="preserve">45 </t>
    </r>
    <r>
      <rPr>
        <sz val="11"/>
        <color rgb="FF1F2937"/>
        <rFont val="DejaVu Sans"/>
        <family val="2"/>
      </rPr>
      <t xml:space="preserve">条绝对够</t>
    </r>
  </si>
  <si>
    <r>
      <rPr>
        <sz val="11"/>
        <color rgb="FF1F2937"/>
        <rFont val="DejaVu Sans"/>
        <family val="2"/>
      </rPr>
      <t xml:space="preserve">✗ 同一行不要图片 </t>
    </r>
    <r>
      <rPr>
        <sz val="11"/>
        <color rgb="FF1F2937"/>
        <rFont val="Arial"/>
        <family val="0"/>
        <charset val="1"/>
      </rPr>
      <t xml:space="preserve">+ </t>
    </r>
    <r>
      <rPr>
        <sz val="11"/>
        <color rgb="FF1F2937"/>
        <rFont val="DejaVu Sans"/>
        <family val="2"/>
      </rPr>
      <t xml:space="preserve">视频混用（</t>
    </r>
    <r>
      <rPr>
        <sz val="11"/>
        <color rgb="FF1F2937"/>
        <rFont val="Arial"/>
        <family val="0"/>
        <charset val="1"/>
      </rPr>
      <t xml:space="preserve">Publer </t>
    </r>
    <r>
      <rPr>
        <sz val="11"/>
        <color rgb="FF1F2937"/>
        <rFont val="DejaVu Sans"/>
        <family val="2"/>
      </rPr>
      <t xml:space="preserve">不支持）</t>
    </r>
  </si>
  <si>
    <r>
      <rPr>
        <sz val="11"/>
        <color rgb="FF1F2937"/>
        <rFont val="DejaVu Sans"/>
        <family val="2"/>
      </rPr>
      <t xml:space="preserve">✗ 别动 </t>
    </r>
    <r>
      <rPr>
        <sz val="11"/>
        <color rgb="FF1F2937"/>
        <rFont val="Arial"/>
        <family val="0"/>
        <charset val="1"/>
      </rPr>
      <t xml:space="preserve">Publer Output </t>
    </r>
    <r>
      <rPr>
        <sz val="11"/>
        <color rgb="FF1F2937"/>
        <rFont val="DejaVu Sans"/>
        <family val="2"/>
      </rPr>
      <t xml:space="preserve">里的公式（除非你懂改）</t>
    </r>
  </si>
  <si>
    <r>
      <rPr>
        <i val="true"/>
        <sz val="9"/>
        <color rgb="FF999999"/>
        <rFont val="DejaVu Sans"/>
        <family val="2"/>
      </rPr>
      <t xml:space="preserve">模板版本：</t>
    </r>
    <r>
      <rPr>
        <i val="true"/>
        <sz val="9"/>
        <color rgb="FF999999"/>
        <rFont val="Arial"/>
        <family val="0"/>
        <charset val="1"/>
      </rPr>
      <t xml:space="preserve">v1 · 2026-04-25 · Made for CTS Tours</t>
    </r>
  </si>
  <si>
    <t xml:space="preserve">Headline_EN</t>
  </si>
  <si>
    <t xml:space="preserve">Date</t>
  </si>
  <si>
    <t xml:space="preserve">Day_of_Week</t>
  </si>
  <si>
    <t xml:space="preserve">Time_NZST</t>
  </si>
  <si>
    <t xml:space="preserve">Platform</t>
  </si>
  <si>
    <t xml:space="preserve">Product</t>
  </si>
  <si>
    <t xml:space="preserve">Format</t>
  </si>
  <si>
    <t xml:space="preserve">Ratio</t>
  </si>
  <si>
    <t xml:space="preserve">Caption_EN</t>
  </si>
  <si>
    <t xml:space="preserve">Hashtags_IG</t>
  </si>
  <si>
    <t xml:space="preserve">URL_Organic_UTM</t>
  </si>
  <si>
    <t xml:space="preserve">LoveArt_Prompt_EN</t>
  </si>
  <si>
    <t xml:space="preserve">Image_URL</t>
  </si>
  <si>
    <t xml:space="preserve">Status</t>
  </si>
  <si>
    <t xml:space="preserve">Internal_Notes_ZH</t>
  </si>
  <si>
    <t xml:space="preserve">Content_Pillar</t>
  </si>
  <si>
    <t xml:space="preserve">Content_Summary_EN</t>
  </si>
  <si>
    <t xml:space="preserve">Zapier_Synced</t>
  </si>
  <si>
    <t xml:space="preserve">Publer_Post_ID</t>
  </si>
  <si>
    <t xml:space="preserve">Sample · Do You Need a Visa?</t>
  </si>
  <si>
    <t xml:space="preserve">2026-04-26</t>
  </si>
  <si>
    <t xml:space="preserve">Sunday</t>
  </si>
  <si>
    <t xml:space="preserve">07:00</t>
  </si>
  <si>
    <t xml:space="preserve">Facebook</t>
  </si>
  <si>
    <t xml:space="preserve">Visa-Free Education</t>
  </si>
  <si>
    <t xml:space="preserve">Feed</t>
  </si>
  <si>
    <t xml:space="preserve">4:5</t>
  </si>
  <si>
    <t xml:space="preserve">🛫 Planning your China trip? One question we hear from kiwi travellers: 'Do I need a visa?'</t>
  </si>
  <si>
    <t xml:space="preserve">#ChinaVisa #NZTravel #CTSTours</t>
  </si>
  <si>
    <t xml:space="preserve">https://www.ctstours.co.nz/china-visa-guide</t>
  </si>
  <si>
    <t xml:space="preserve">https://qbturrydultenhlfmdcm.supabase.co/storage/v1/object/public/tour-images/forbidden-city-aerial.jpg</t>
  </si>
  <si>
    <t xml:space="preserve">ready</t>
  </si>
  <si>
    <t xml:space="preserve">FALSE</t>
  </si>
  <si>
    <r>
      <rPr>
        <i val="true"/>
        <sz val="10"/>
        <color rgb="FF999999"/>
        <rFont val="DejaVu Sans"/>
        <family val="2"/>
      </rPr>
      <t xml:space="preserve">↑ 把 </t>
    </r>
    <r>
      <rPr>
        <i val="true"/>
        <sz val="10"/>
        <color rgb="FF999999"/>
        <rFont val="Arial"/>
        <family val="0"/>
        <charset val="1"/>
      </rPr>
      <t xml:space="preserve">Airtable </t>
    </r>
    <r>
      <rPr>
        <i val="true"/>
        <sz val="10"/>
        <color rgb="FF999999"/>
        <rFont val="DejaVu Sans"/>
        <family val="2"/>
      </rPr>
      <t xml:space="preserve">导出的 </t>
    </r>
    <r>
      <rPr>
        <i val="true"/>
        <sz val="10"/>
        <color rgb="FF999999"/>
        <rFont val="Arial"/>
        <family val="0"/>
        <charset val="1"/>
      </rPr>
      <t xml:space="preserve">CSV </t>
    </r>
    <r>
      <rPr>
        <i val="true"/>
        <sz val="10"/>
        <color rgb="FF999999"/>
        <rFont val="DejaVu Sans"/>
        <family val="2"/>
      </rPr>
      <t xml:space="preserve">从 </t>
    </r>
    <r>
      <rPr>
        <i val="true"/>
        <sz val="10"/>
        <color rgb="FF999999"/>
        <rFont val="Arial"/>
        <family val="0"/>
        <charset val="1"/>
      </rPr>
      <t xml:space="preserve">A2 </t>
    </r>
    <r>
      <rPr>
        <i val="true"/>
        <sz val="10"/>
        <color rgb="FF999999"/>
        <rFont val="DejaVu Sans"/>
        <family val="2"/>
      </rPr>
      <t xml:space="preserve">开始粘贴（可以覆盖上面的 </t>
    </r>
    <r>
      <rPr>
        <i val="true"/>
        <sz val="10"/>
        <color rgb="FF999999"/>
        <rFont val="Arial"/>
        <family val="0"/>
        <charset val="1"/>
      </rPr>
      <t xml:space="preserve">headers</t>
    </r>
    <r>
      <rPr>
        <i val="true"/>
        <sz val="10"/>
        <color rgb="FF999999"/>
        <rFont val="DejaVu Sans"/>
        <family val="2"/>
      </rPr>
      <t xml:space="preserve">，</t>
    </r>
    <r>
      <rPr>
        <i val="true"/>
        <sz val="10"/>
        <color rgb="FF999999"/>
        <rFont val="Arial"/>
        <family val="0"/>
        <charset val="1"/>
      </rPr>
      <t xml:space="preserve">Excel </t>
    </r>
    <r>
      <rPr>
        <i val="true"/>
        <sz val="10"/>
        <color rgb="FF999999"/>
        <rFont val="DejaVu Sans"/>
        <family val="2"/>
      </rPr>
      <t xml:space="preserve">会自动匹配）</t>
    </r>
  </si>
  <si>
    <t xml:space="preserve">Message</t>
  </si>
  <si>
    <t xml:space="preserve">Link</t>
  </si>
  <si>
    <t xml:space="preserve">Media URLs</t>
  </si>
  <si>
    <t xml:space="preserve">Title</t>
  </si>
  <si>
    <t xml:space="preserve">Labels</t>
  </si>
  <si>
    <t xml:space="preserve">Alt Text(s)</t>
  </si>
  <si>
    <t xml:space="preserve">Comment(s)</t>
  </si>
  <si>
    <t xml:space="preserve">Subtype</t>
  </si>
  <si>
    <t xml:space="preserve">Call-to-Action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</si>
</sst>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B61E2E"/>
      <name val="Arial"/>
      <family val="0"/>
      <charset val="1"/>
    </font>
    <font>
      <i val="true"/>
      <sz val="12"/>
      <color rgb="FF1F2937"/>
      <name val="DejaVu Sans"/>
      <family val="2"/>
    </font>
    <font>
      <i val="true"/>
      <sz val="12"/>
      <color rgb="FF1F2937"/>
      <name val="Arial"/>
      <family val="0"/>
      <charset val="1"/>
    </font>
    <font>
      <b val="true"/>
      <sz val="12"/>
      <color rgb="FFB61E2E"/>
      <name val="Arial"/>
      <family val="0"/>
      <charset val="1"/>
    </font>
    <font>
      <sz val="11"/>
      <color rgb="FF1F2937"/>
      <name val="DejaVu Sans"/>
      <family val="2"/>
    </font>
    <font>
      <sz val="11"/>
      <color rgb="FF1F2937"/>
      <name val="Arial"/>
      <family val="0"/>
      <charset val="1"/>
    </font>
    <font>
      <b val="true"/>
      <sz val="12"/>
      <color rgb="FFB61E2E"/>
      <name val="DejaVu Sans"/>
      <family val="2"/>
    </font>
    <font>
      <b val="true"/>
      <sz val="14"/>
      <color rgb="FFB61E2E"/>
      <name val="DejaVu Sans"/>
      <family val="2"/>
    </font>
    <font>
      <i val="true"/>
      <sz val="9"/>
      <color rgb="FF999999"/>
      <name val="DejaVu Sans"/>
      <family val="2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999999"/>
      <name val="DejaVu Sans"/>
      <family val="2"/>
    </font>
    <font>
      <i val="true"/>
      <sz val="10"/>
      <color rgb="FF999999"/>
      <name val="Arial"/>
      <family val="0"/>
      <charset val="1"/>
    </font>
    <font>
      <sz val="10"/>
      <color rgb="FF1F29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A756"/>
        <bgColor rgb="FFFF8080"/>
      </patternFill>
    </fill>
    <fill>
      <patternFill patternType="solid">
        <fgColor rgb="FF1F2937"/>
        <bgColor rgb="FF333300"/>
      </patternFill>
    </fill>
    <fill>
      <patternFill patternType="solid">
        <fgColor rgb="FFB61E2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A756"/>
      <rgbColor rgb="FFFF6600"/>
      <rgbColor rgb="FF666666"/>
      <rgbColor rgb="FF999999"/>
      <rgbColor rgb="FF003366"/>
      <rgbColor rgb="FF339966"/>
      <rgbColor rgb="FF003300"/>
      <rgbColor rgb="FF333300"/>
      <rgbColor rgb="FFB61E2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3" hidden="false" customHeight="true" outlineLevel="0" collapsed="false">
      <c r="B4" s="3"/>
    </row>
    <row r="6" customFormat="false" ht="15" hidden="false" customHeight="false" outlineLevel="0" collapsed="false">
      <c r="B6" s="4" t="s">
        <v>2</v>
      </c>
    </row>
    <row r="7" customFormat="false" ht="34.5" hidden="false" customHeight="true" outlineLevel="0" collapsed="false">
      <c r="B7" s="5" t="s">
        <v>3</v>
      </c>
    </row>
    <row r="9" customFormat="false" ht="15" hidden="false" customHeight="false" outlineLevel="0" collapsed="false">
      <c r="B9" s="4" t="s">
        <v>4</v>
      </c>
    </row>
    <row r="10" customFormat="false" ht="34.5" hidden="false" customHeight="true" outlineLevel="0" collapsed="false">
      <c r="B10" s="6" t="s">
        <v>5</v>
      </c>
    </row>
    <row r="12" customFormat="false" ht="15" hidden="false" customHeight="false" outlineLevel="0" collapsed="false">
      <c r="B12" s="4" t="s">
        <v>6</v>
      </c>
    </row>
    <row r="13" customFormat="false" ht="34.5" hidden="false" customHeight="true" outlineLevel="0" collapsed="false">
      <c r="B13" s="5" t="s">
        <v>7</v>
      </c>
    </row>
    <row r="15" customFormat="false" ht="15" hidden="false" customHeight="false" outlineLevel="0" collapsed="false">
      <c r="B15" s="4" t="s">
        <v>8</v>
      </c>
    </row>
    <row r="16" customFormat="false" ht="34.5" hidden="false" customHeight="true" outlineLevel="0" collapsed="false">
      <c r="B16" s="5" t="s">
        <v>9</v>
      </c>
    </row>
    <row r="18" customFormat="false" ht="15" hidden="false" customHeight="false" outlineLevel="0" collapsed="false">
      <c r="B18" s="4" t="s">
        <v>10</v>
      </c>
    </row>
    <row r="19" customFormat="false" ht="34.5" hidden="false" customHeight="true" outlineLevel="0" collapsed="false">
      <c r="B19" s="6" t="s">
        <v>11</v>
      </c>
    </row>
    <row r="21" customFormat="false" ht="15" hidden="false" customHeight="false" outlineLevel="0" collapsed="false">
      <c r="B21" s="4" t="s">
        <v>12</v>
      </c>
    </row>
    <row r="22" customFormat="false" ht="34.5" hidden="false" customHeight="true" outlineLevel="0" collapsed="false">
      <c r="B22" s="5" t="s">
        <v>13</v>
      </c>
    </row>
    <row r="24" customFormat="false" ht="15" hidden="false" customHeight="false" outlineLevel="0" collapsed="false">
      <c r="B24" s="4" t="s">
        <v>14</v>
      </c>
    </row>
    <row r="25" customFormat="false" ht="34.5" hidden="false" customHeight="true" outlineLevel="0" collapsed="false">
      <c r="B25" s="6" t="s">
        <v>15</v>
      </c>
    </row>
    <row r="27" customFormat="false" ht="15" hidden="false" customHeight="false" outlineLevel="0" collapsed="false">
      <c r="B27" s="4" t="s">
        <v>16</v>
      </c>
    </row>
    <row r="28" customFormat="false" ht="34.5" hidden="false" customHeight="true" outlineLevel="0" collapsed="false">
      <c r="B28" s="5" t="s">
        <v>17</v>
      </c>
    </row>
    <row r="30" customFormat="false" ht="17.35" hidden="false" customHeight="false" outlineLevel="0" collapsed="false">
      <c r="B30" s="7" t="s">
        <v>18</v>
      </c>
    </row>
    <row r="32" customFormat="false" ht="15" hidden="false" customHeight="false" outlineLevel="0" collapsed="false">
      <c r="B32" s="8" t="s">
        <v>19</v>
      </c>
    </row>
    <row r="33" customFormat="false" ht="15" hidden="false" customHeight="false" outlineLevel="0" collapsed="false">
      <c r="B33" s="8" t="s">
        <v>20</v>
      </c>
    </row>
    <row r="34" customFormat="false" ht="15" hidden="false" customHeight="false" outlineLevel="0" collapsed="false">
      <c r="B34" s="9" t="s">
        <v>21</v>
      </c>
    </row>
    <row r="35" customFormat="false" ht="15" hidden="false" customHeight="false" outlineLevel="0" collapsed="false">
      <c r="B35" s="9" t="s">
        <v>22</v>
      </c>
    </row>
    <row r="36" customFormat="false" ht="15" hidden="false" customHeight="false" outlineLevel="0" collapsed="false">
      <c r="B36" s="9" t="s">
        <v>23</v>
      </c>
    </row>
    <row r="37" customFormat="false" ht="15" hidden="false" customHeight="false" outlineLevel="0" collapsed="false">
      <c r="B37" s="9" t="s">
        <v>24</v>
      </c>
    </row>
    <row r="40" customFormat="false" ht="15" hidden="false" customHeight="false" outlineLevel="0" collapsed="false">
      <c r="B40" s="1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9" min="1" style="0" width="20"/>
  </cols>
  <sheetData>
    <row r="1" customFormat="false" ht="24.75" hidden="false" customHeight="true" outlineLevel="0" collapsed="false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1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1" t="s">
        <v>44</v>
      </c>
    </row>
    <row r="2" customFormat="false" ht="15" hidden="false" customHeight="false" outlineLevel="0" collapsed="false">
      <c r="A2" s="12" t="s">
        <v>45</v>
      </c>
      <c r="B2" s="12" t="s">
        <v>46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51</v>
      </c>
      <c r="H2" s="12" t="s">
        <v>52</v>
      </c>
      <c r="I2" s="12" t="s">
        <v>53</v>
      </c>
      <c r="J2" s="12" t="s">
        <v>54</v>
      </c>
      <c r="K2" s="12" t="s">
        <v>55</v>
      </c>
      <c r="L2" s="12"/>
      <c r="M2" s="12" t="s">
        <v>56</v>
      </c>
      <c r="N2" s="12" t="s">
        <v>57</v>
      </c>
      <c r="O2" s="12"/>
      <c r="P2" s="12"/>
      <c r="Q2" s="12"/>
      <c r="R2" s="12" t="s">
        <v>58</v>
      </c>
      <c r="S2" s="12"/>
    </row>
    <row r="50" customFormat="false" ht="15" hidden="false" customHeight="false" outlineLevel="0" collapsed="false">
      <c r="A50" s="1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12" min="5" style="0" width="18"/>
  </cols>
  <sheetData>
    <row r="1" customFormat="false" ht="24.75" hidden="false" customHeight="true" outlineLevel="0" collapsed="false">
      <c r="A1" s="14" t="s">
        <v>27</v>
      </c>
      <c r="B1" s="14" t="s">
        <v>60</v>
      </c>
      <c r="C1" s="14" t="s">
        <v>61</v>
      </c>
      <c r="D1" s="14" t="s">
        <v>62</v>
      </c>
      <c r="E1" s="14" t="s">
        <v>63</v>
      </c>
      <c r="F1" s="14" t="s">
        <v>64</v>
      </c>
      <c r="G1" s="14" t="s">
        <v>65</v>
      </c>
      <c r="H1" s="14" t="s">
        <v>66</v>
      </c>
      <c r="I1" s="14" t="s">
        <v>67</v>
      </c>
      <c r="J1" s="14" t="s">
        <v>68</v>
      </c>
      <c r="K1" s="14"/>
      <c r="L1" s="14"/>
    </row>
    <row r="2" customFormat="false" ht="46.25" hidden="false" customHeight="false" outlineLevel="0" collapsed="false">
      <c r="A2" s="15" t="str">
        <f aca="false">IFERROR(IF(INDEX('Airtable Input'!$A:$Z, 2, MATCH("Date", 'Airtable Input'!$1:$1, 0))="","",SUBSTITUTE(TEXT(INDEX('Airtable Input'!$A:$Z, 2, MATCH("Date", 'Airtable Input'!$1:$1, 0)),"YYYY-MM-DD"),"-","/")&amp;" "&amp;INDEX('Airtable Input'!$A:$Z, 2, MATCH("Time_NZST", 'Airtable Input'!$1:$1, 0))),"")</f>
        <v>2026/04/26 07:00</v>
      </c>
      <c r="B2" s="15" t="str">
        <f aca="false">IFERROR(IF(INDEX('Airtable Input'!$A:$Z, 2, MATCH("Caption_EN", 'Airtable Input'!$1:$1, 0))="","",INDEX('Airtable Input'!$A:$Z, 2, MATCH("Caption_EN", 'Airtable Input'!$1:$1, 0))&amp;CHAR(10)&amp;CHAR(10)&amp;INDEX('Airtable Input'!$A:$Z, 2, MATCH("Hashtags_IG", 'Airtable Input'!$1:$1, 0))),"")</f>
        <v>🛫 Planning your China trip? One question we hear from kiwi travellers: 'Do I need a visa?'
#ChinaVisa #NZTravel #CTSTours</v>
      </c>
      <c r="C2" s="15"/>
      <c r="D2" s="15" t="str">
        <f aca="false">IFERROR(INDEX('Airtable Input'!$A:$Z, 2, MATCH("Image_URL", 'Airtable Input'!$1:$1, 0)),"")</f>
        <v>https://qbturrydultenhlfmdcm.supabase.co/storage/v1/object/public/tour-images/forbidden-city-aerial.jpg</v>
      </c>
      <c r="E2" s="15"/>
      <c r="F2" s="15"/>
      <c r="G2" s="15" t="str">
        <f aca="false">IFERROR(INDEX('Airtable Input'!$A:$Z, 2, MATCH("Headline_EN", 'Airtable Input'!$1:$1, 0)),"")</f>
        <v>Sample · Do You Need a Visa?</v>
      </c>
      <c r="H2" s="15" t="str">
        <f aca="false">IFERROR(IF(INDEX('Airtable Input'!$A:$Z, 2, MATCH("URL_Organic_UTM", 'Airtable Input'!$1:$1, 0))="","","🔗 Full details: "&amp;INDEX('Airtable Input'!$A:$Z, 2, MATCH("URL_Organic_UTM", 'Airtable Input'!$1:$1, 0))),"")</f>
        <v>🔗 Full details: https://www.ctstours.co.nz/china-visa-guide</v>
      </c>
      <c r="I2" s="15" t="str">
        <f aca="false">IFERROR(IF(INDEX('Airtable Input'!$A:$Z, 2, MATCH("Format", 'Airtable Input'!$1:$1, 0))="Reel","Reel",IF(INDEX('Airtable Input'!$A:$Z, 2, MATCH("Format", 'Airtable Input'!$1:$1, 0))="Story","Story","")),"")</f>
        <v/>
      </c>
      <c r="J2" s="15"/>
      <c r="K2" s="15"/>
      <c r="L2" s="15"/>
    </row>
    <row r="3" customFormat="false" ht="15" hidden="false" customHeight="false" outlineLevel="0" collapsed="false">
      <c r="A3" s="15" t="str">
        <f aca="false">IFERROR(IF(INDEX('Airtable Input'!$A:$Z, 3, MATCH("Date", 'Airtable Input'!$1:$1, 0))="","",SUBSTITUTE(TEXT(INDEX('Airtable Input'!$A:$Z, 3, MATCH("Date", 'Airtable Input'!$1:$1, 0)),"YYYY-MM-DD"),"-","/")&amp;" "&amp;INDEX('Airtable Input'!$A:$Z, 3, MATCH("Time_NZST", 'Airtable Input'!$1:$1, 0))),"")</f>
        <v/>
      </c>
      <c r="B3" s="15" t="str">
        <f aca="false">IFERROR(IF(INDEX('Airtable Input'!$A:$Z, 3, MATCH("Caption_EN", 'Airtable Input'!$1:$1, 0))="","",INDEX('Airtable Input'!$A:$Z, 3, MATCH("Caption_EN", 'Airtable Input'!$1:$1, 0))&amp;CHAR(10)&amp;CHAR(10)&amp;INDEX('Airtable Input'!$A:$Z, 3, MATCH("Hashtags_IG", 'Airtable Input'!$1:$1, 0))),"")</f>
        <v/>
      </c>
      <c r="C3" s="15"/>
      <c r="D3" s="15" t="n">
        <f aca="false">IFERROR(INDEX('Airtable Input'!$A:$Z, 3, MATCH("Image_URL", 'Airtable Input'!$1:$1, 0)),"")</f>
        <v>0</v>
      </c>
      <c r="E3" s="15"/>
      <c r="F3" s="15"/>
      <c r="G3" s="15" t="n">
        <f aca="false">IFERROR(INDEX('Airtable Input'!$A:$Z, 3, MATCH("Headline_EN", 'Airtable Input'!$1:$1, 0)),"")</f>
        <v>0</v>
      </c>
      <c r="H3" s="15" t="str">
        <f aca="false">IFERROR(IF(INDEX('Airtable Input'!$A:$Z, 3, MATCH("URL_Organic_UTM", 'Airtable Input'!$1:$1, 0))="","","🔗 Full details: "&amp;INDEX('Airtable Input'!$A:$Z, 3, MATCH("URL_Organic_UTM", 'Airtable Input'!$1:$1, 0))),"")</f>
        <v/>
      </c>
      <c r="I3" s="15" t="str">
        <f aca="false">IFERROR(IF(INDEX('Airtable Input'!$A:$Z, 3, MATCH("Format", 'Airtable Input'!$1:$1, 0))="Reel","Reel",IF(INDEX('Airtable Input'!$A:$Z, 3, MATCH("Format", 'Airtable Input'!$1:$1, 0))="Story","Story","")),"")</f>
        <v/>
      </c>
      <c r="J3" s="15"/>
      <c r="K3" s="15"/>
      <c r="L3" s="15"/>
    </row>
    <row r="4" customFormat="false" ht="15" hidden="false" customHeight="false" outlineLevel="0" collapsed="false">
      <c r="A4" s="15" t="str">
        <f aca="false">IFERROR(IF(INDEX('Airtable Input'!$A:$Z, 4, MATCH("Date", 'Airtable Input'!$1:$1, 0))="","",SUBSTITUTE(TEXT(INDEX('Airtable Input'!$A:$Z, 4, MATCH("Date", 'Airtable Input'!$1:$1, 0)),"YYYY-MM-DD"),"-","/")&amp;" "&amp;INDEX('Airtable Input'!$A:$Z, 4, MATCH("Time_NZST", 'Airtable Input'!$1:$1, 0))),"")</f>
        <v/>
      </c>
      <c r="B4" s="15" t="str">
        <f aca="false">IFERROR(IF(INDEX('Airtable Input'!$A:$Z, 4, MATCH("Caption_EN", 'Airtable Input'!$1:$1, 0))="","",INDEX('Airtable Input'!$A:$Z, 4, MATCH("Caption_EN", 'Airtable Input'!$1:$1, 0))&amp;CHAR(10)&amp;CHAR(10)&amp;INDEX('Airtable Input'!$A:$Z, 4, MATCH("Hashtags_IG", 'Airtable Input'!$1:$1, 0))),"")</f>
        <v/>
      </c>
      <c r="C4" s="15"/>
      <c r="D4" s="15" t="n">
        <f aca="false">IFERROR(INDEX('Airtable Input'!$A:$Z, 4, MATCH("Image_URL", 'Airtable Input'!$1:$1, 0)),"")</f>
        <v>0</v>
      </c>
      <c r="E4" s="15"/>
      <c r="F4" s="15"/>
      <c r="G4" s="15" t="n">
        <f aca="false">IFERROR(INDEX('Airtable Input'!$A:$Z, 4, MATCH("Headline_EN", 'Airtable Input'!$1:$1, 0)),"")</f>
        <v>0</v>
      </c>
      <c r="H4" s="15" t="str">
        <f aca="false">IFERROR(IF(INDEX('Airtable Input'!$A:$Z, 4, MATCH("URL_Organic_UTM", 'Airtable Input'!$1:$1, 0))="","","🔗 Full details: "&amp;INDEX('Airtable Input'!$A:$Z, 4, MATCH("URL_Organic_UTM", 'Airtable Input'!$1:$1, 0))),"")</f>
        <v/>
      </c>
      <c r="I4" s="15" t="str">
        <f aca="false">IFERROR(IF(INDEX('Airtable Input'!$A:$Z, 4, MATCH("Format", 'Airtable Input'!$1:$1, 0))="Reel","Reel",IF(INDEX('Airtable Input'!$A:$Z, 4, MATCH("Format", 'Airtable Input'!$1:$1, 0))="Story","Story","")),"")</f>
        <v/>
      </c>
      <c r="J4" s="15"/>
      <c r="K4" s="15"/>
      <c r="L4" s="15"/>
    </row>
    <row r="5" customFormat="false" ht="15" hidden="false" customHeight="false" outlineLevel="0" collapsed="false">
      <c r="A5" s="15" t="str">
        <f aca="false">IFERROR(IF(INDEX('Airtable Input'!$A:$Z, 5, MATCH("Date", 'Airtable Input'!$1:$1, 0))="","",SUBSTITUTE(TEXT(INDEX('Airtable Input'!$A:$Z, 5, MATCH("Date", 'Airtable Input'!$1:$1, 0)),"YYYY-MM-DD"),"-","/")&amp;" "&amp;INDEX('Airtable Input'!$A:$Z, 5, MATCH("Time_NZST", 'Airtable Input'!$1:$1, 0))),"")</f>
        <v/>
      </c>
      <c r="B5" s="15" t="str">
        <f aca="false">IFERROR(IF(INDEX('Airtable Input'!$A:$Z, 5, MATCH("Caption_EN", 'Airtable Input'!$1:$1, 0))="","",INDEX('Airtable Input'!$A:$Z, 5, MATCH("Caption_EN", 'Airtable Input'!$1:$1, 0))&amp;CHAR(10)&amp;CHAR(10)&amp;INDEX('Airtable Input'!$A:$Z, 5, MATCH("Hashtags_IG", 'Airtable Input'!$1:$1, 0))),"")</f>
        <v/>
      </c>
      <c r="C5" s="15"/>
      <c r="D5" s="15" t="n">
        <f aca="false">IFERROR(INDEX('Airtable Input'!$A:$Z, 5, MATCH("Image_URL", 'Airtable Input'!$1:$1, 0)),"")</f>
        <v>0</v>
      </c>
      <c r="E5" s="15"/>
      <c r="F5" s="15"/>
      <c r="G5" s="15" t="n">
        <f aca="false">IFERROR(INDEX('Airtable Input'!$A:$Z, 5, MATCH("Headline_EN", 'Airtable Input'!$1:$1, 0)),"")</f>
        <v>0</v>
      </c>
      <c r="H5" s="15" t="str">
        <f aca="false">IFERROR(IF(INDEX('Airtable Input'!$A:$Z, 5, MATCH("URL_Organic_UTM", 'Airtable Input'!$1:$1, 0))="","","🔗 Full details: "&amp;INDEX('Airtable Input'!$A:$Z, 5, MATCH("URL_Organic_UTM", 'Airtable Input'!$1:$1, 0))),"")</f>
        <v/>
      </c>
      <c r="I5" s="15" t="str">
        <f aca="false">IFERROR(IF(INDEX('Airtable Input'!$A:$Z, 5, MATCH("Format", 'Airtable Input'!$1:$1, 0))="Reel","Reel",IF(INDEX('Airtable Input'!$A:$Z, 5, MATCH("Format", 'Airtable Input'!$1:$1, 0))="Story","Story","")),"")</f>
        <v/>
      </c>
      <c r="J5" s="15"/>
      <c r="K5" s="15"/>
      <c r="L5" s="15"/>
    </row>
    <row r="6" customFormat="false" ht="15" hidden="false" customHeight="false" outlineLevel="0" collapsed="false">
      <c r="A6" s="15" t="str">
        <f aca="false">IFERROR(IF(INDEX('Airtable Input'!$A:$Z, 6, MATCH("Date", 'Airtable Input'!$1:$1, 0))="","",SUBSTITUTE(TEXT(INDEX('Airtable Input'!$A:$Z, 6, MATCH("Date", 'Airtable Input'!$1:$1, 0)),"YYYY-MM-DD"),"-","/")&amp;" "&amp;INDEX('Airtable Input'!$A:$Z, 6, MATCH("Time_NZST", 'Airtable Input'!$1:$1, 0))),"")</f>
        <v/>
      </c>
      <c r="B6" s="15" t="str">
        <f aca="false">IFERROR(IF(INDEX('Airtable Input'!$A:$Z, 6, MATCH("Caption_EN", 'Airtable Input'!$1:$1, 0))="","",INDEX('Airtable Input'!$A:$Z, 6, MATCH("Caption_EN", 'Airtable Input'!$1:$1, 0))&amp;CHAR(10)&amp;CHAR(10)&amp;INDEX('Airtable Input'!$A:$Z, 6, MATCH("Hashtags_IG", 'Airtable Input'!$1:$1, 0))),"")</f>
        <v/>
      </c>
      <c r="C6" s="15"/>
      <c r="D6" s="15" t="n">
        <f aca="false">IFERROR(INDEX('Airtable Input'!$A:$Z, 6, MATCH("Image_URL", 'Airtable Input'!$1:$1, 0)),"")</f>
        <v>0</v>
      </c>
      <c r="E6" s="15"/>
      <c r="F6" s="15"/>
      <c r="G6" s="15" t="n">
        <f aca="false">IFERROR(INDEX('Airtable Input'!$A:$Z, 6, MATCH("Headline_EN", 'Airtable Input'!$1:$1, 0)),"")</f>
        <v>0</v>
      </c>
      <c r="H6" s="15" t="str">
        <f aca="false">IFERROR(IF(INDEX('Airtable Input'!$A:$Z, 6, MATCH("URL_Organic_UTM", 'Airtable Input'!$1:$1, 0))="","","🔗 Full details: "&amp;INDEX('Airtable Input'!$A:$Z, 6, MATCH("URL_Organic_UTM", 'Airtable Input'!$1:$1, 0))),"")</f>
        <v/>
      </c>
      <c r="I6" s="15" t="str">
        <f aca="false">IFERROR(IF(INDEX('Airtable Input'!$A:$Z, 6, MATCH("Format", 'Airtable Input'!$1:$1, 0))="Reel","Reel",IF(INDEX('Airtable Input'!$A:$Z, 6, MATCH("Format", 'Airtable Input'!$1:$1, 0))="Story","Story","")),"")</f>
        <v/>
      </c>
      <c r="J6" s="15"/>
      <c r="K6" s="15"/>
      <c r="L6" s="15"/>
    </row>
    <row r="7" customFormat="false" ht="15" hidden="false" customHeight="false" outlineLevel="0" collapsed="false">
      <c r="A7" s="15" t="str">
        <f aca="false">IFERROR(IF(INDEX('Airtable Input'!$A:$Z, 7, MATCH("Date", 'Airtable Input'!$1:$1, 0))="","",SUBSTITUTE(TEXT(INDEX('Airtable Input'!$A:$Z, 7, MATCH("Date", 'Airtable Input'!$1:$1, 0)),"YYYY-MM-DD"),"-","/")&amp;" "&amp;INDEX('Airtable Input'!$A:$Z, 7, MATCH("Time_NZST", 'Airtable Input'!$1:$1, 0))),"")</f>
        <v/>
      </c>
      <c r="B7" s="15" t="str">
        <f aca="false">IFERROR(IF(INDEX('Airtable Input'!$A:$Z, 7, MATCH("Caption_EN", 'Airtable Input'!$1:$1, 0))="","",INDEX('Airtable Input'!$A:$Z, 7, MATCH("Caption_EN", 'Airtable Input'!$1:$1, 0))&amp;CHAR(10)&amp;CHAR(10)&amp;INDEX('Airtable Input'!$A:$Z, 7, MATCH("Hashtags_IG", 'Airtable Input'!$1:$1, 0))),"")</f>
        <v/>
      </c>
      <c r="C7" s="15"/>
      <c r="D7" s="15" t="n">
        <f aca="false">IFERROR(INDEX('Airtable Input'!$A:$Z, 7, MATCH("Image_URL", 'Airtable Input'!$1:$1, 0)),"")</f>
        <v>0</v>
      </c>
      <c r="E7" s="15"/>
      <c r="F7" s="15"/>
      <c r="G7" s="15" t="n">
        <f aca="false">IFERROR(INDEX('Airtable Input'!$A:$Z, 7, MATCH("Headline_EN", 'Airtable Input'!$1:$1, 0)),"")</f>
        <v>0</v>
      </c>
      <c r="H7" s="15" t="str">
        <f aca="false">IFERROR(IF(INDEX('Airtable Input'!$A:$Z, 7, MATCH("URL_Organic_UTM", 'Airtable Input'!$1:$1, 0))="","","🔗 Full details: "&amp;INDEX('Airtable Input'!$A:$Z, 7, MATCH("URL_Organic_UTM", 'Airtable Input'!$1:$1, 0))),"")</f>
        <v/>
      </c>
      <c r="I7" s="15" t="str">
        <f aca="false">IFERROR(IF(INDEX('Airtable Input'!$A:$Z, 7, MATCH("Format", 'Airtable Input'!$1:$1, 0))="Reel","Reel",IF(INDEX('Airtable Input'!$A:$Z, 7, MATCH("Format", 'Airtable Input'!$1:$1, 0))="Story","Story","")),"")</f>
        <v/>
      </c>
      <c r="J7" s="15"/>
      <c r="K7" s="15"/>
      <c r="L7" s="15"/>
    </row>
    <row r="8" customFormat="false" ht="15" hidden="false" customHeight="false" outlineLevel="0" collapsed="false">
      <c r="A8" s="15" t="str">
        <f aca="false">IFERROR(IF(INDEX('Airtable Input'!$A:$Z, 8, MATCH("Date", 'Airtable Input'!$1:$1, 0))="","",SUBSTITUTE(TEXT(INDEX('Airtable Input'!$A:$Z, 8, MATCH("Date", 'Airtable Input'!$1:$1, 0)),"YYYY-MM-DD"),"-","/")&amp;" "&amp;INDEX('Airtable Input'!$A:$Z, 8, MATCH("Time_NZST", 'Airtable Input'!$1:$1, 0))),"")</f>
        <v/>
      </c>
      <c r="B8" s="15" t="str">
        <f aca="false">IFERROR(IF(INDEX('Airtable Input'!$A:$Z, 8, MATCH("Caption_EN", 'Airtable Input'!$1:$1, 0))="","",INDEX('Airtable Input'!$A:$Z, 8, MATCH("Caption_EN", 'Airtable Input'!$1:$1, 0))&amp;CHAR(10)&amp;CHAR(10)&amp;INDEX('Airtable Input'!$A:$Z, 8, MATCH("Hashtags_IG", 'Airtable Input'!$1:$1, 0))),"")</f>
        <v/>
      </c>
      <c r="C8" s="15"/>
      <c r="D8" s="15" t="n">
        <f aca="false">IFERROR(INDEX('Airtable Input'!$A:$Z, 8, MATCH("Image_URL", 'Airtable Input'!$1:$1, 0)),"")</f>
        <v>0</v>
      </c>
      <c r="E8" s="15"/>
      <c r="F8" s="15"/>
      <c r="G8" s="15" t="n">
        <f aca="false">IFERROR(INDEX('Airtable Input'!$A:$Z, 8, MATCH("Headline_EN", 'Airtable Input'!$1:$1, 0)),"")</f>
        <v>0</v>
      </c>
      <c r="H8" s="15" t="str">
        <f aca="false">IFERROR(IF(INDEX('Airtable Input'!$A:$Z, 8, MATCH("URL_Organic_UTM", 'Airtable Input'!$1:$1, 0))="","","🔗 Full details: "&amp;INDEX('Airtable Input'!$A:$Z, 8, MATCH("URL_Organic_UTM", 'Airtable Input'!$1:$1, 0))),"")</f>
        <v/>
      </c>
      <c r="I8" s="15" t="str">
        <f aca="false">IFERROR(IF(INDEX('Airtable Input'!$A:$Z, 8, MATCH("Format", 'Airtable Input'!$1:$1, 0))="Reel","Reel",IF(INDEX('Airtable Input'!$A:$Z, 8, MATCH("Format", 'Airtable Input'!$1:$1, 0))="Story","Story","")),"")</f>
        <v/>
      </c>
      <c r="J8" s="15"/>
      <c r="K8" s="15"/>
      <c r="L8" s="15"/>
    </row>
    <row r="9" customFormat="false" ht="15" hidden="false" customHeight="false" outlineLevel="0" collapsed="false">
      <c r="A9" s="15" t="str">
        <f aca="false">IFERROR(IF(INDEX('Airtable Input'!$A:$Z, 9, MATCH("Date", 'Airtable Input'!$1:$1, 0))="","",SUBSTITUTE(TEXT(INDEX('Airtable Input'!$A:$Z, 9, MATCH("Date", 'Airtable Input'!$1:$1, 0)),"YYYY-MM-DD"),"-","/")&amp;" "&amp;INDEX('Airtable Input'!$A:$Z, 9, MATCH("Time_NZST", 'Airtable Input'!$1:$1, 0))),"")</f>
        <v/>
      </c>
      <c r="B9" s="15" t="str">
        <f aca="false">IFERROR(IF(INDEX('Airtable Input'!$A:$Z, 9, MATCH("Caption_EN", 'Airtable Input'!$1:$1, 0))="","",INDEX('Airtable Input'!$A:$Z, 9, MATCH("Caption_EN", 'Airtable Input'!$1:$1, 0))&amp;CHAR(10)&amp;CHAR(10)&amp;INDEX('Airtable Input'!$A:$Z, 9, MATCH("Hashtags_IG", 'Airtable Input'!$1:$1, 0))),"")</f>
        <v/>
      </c>
      <c r="C9" s="15"/>
      <c r="D9" s="15" t="n">
        <f aca="false">IFERROR(INDEX('Airtable Input'!$A:$Z, 9, MATCH("Image_URL", 'Airtable Input'!$1:$1, 0)),"")</f>
        <v>0</v>
      </c>
      <c r="E9" s="15"/>
      <c r="F9" s="15"/>
      <c r="G9" s="15" t="n">
        <f aca="false">IFERROR(INDEX('Airtable Input'!$A:$Z, 9, MATCH("Headline_EN", 'Airtable Input'!$1:$1, 0)),"")</f>
        <v>0</v>
      </c>
      <c r="H9" s="15" t="str">
        <f aca="false">IFERROR(IF(INDEX('Airtable Input'!$A:$Z, 9, MATCH("URL_Organic_UTM", 'Airtable Input'!$1:$1, 0))="","","🔗 Full details: "&amp;INDEX('Airtable Input'!$A:$Z, 9, MATCH("URL_Organic_UTM", 'Airtable Input'!$1:$1, 0))),"")</f>
        <v/>
      </c>
      <c r="I9" s="15" t="str">
        <f aca="false">IFERROR(IF(INDEX('Airtable Input'!$A:$Z, 9, MATCH("Format", 'Airtable Input'!$1:$1, 0))="Reel","Reel",IF(INDEX('Airtable Input'!$A:$Z, 9, MATCH("Format", 'Airtable Input'!$1:$1, 0))="Story","Story","")),"")</f>
        <v/>
      </c>
      <c r="J9" s="15"/>
      <c r="K9" s="15"/>
      <c r="L9" s="15"/>
    </row>
    <row r="10" customFormat="false" ht="15" hidden="false" customHeight="false" outlineLevel="0" collapsed="false">
      <c r="A10" s="15" t="str">
        <f aca="false">IFERROR(IF(INDEX('Airtable Input'!$A:$Z, 10, MATCH("Date", 'Airtable Input'!$1:$1, 0))="","",SUBSTITUTE(TEXT(INDEX('Airtable Input'!$A:$Z, 10, MATCH("Date", 'Airtable Input'!$1:$1, 0)),"YYYY-MM-DD"),"-","/")&amp;" "&amp;INDEX('Airtable Input'!$A:$Z, 10, MATCH("Time_NZST", 'Airtable Input'!$1:$1, 0))),"")</f>
        <v/>
      </c>
      <c r="B10" s="15" t="str">
        <f aca="false">IFERROR(IF(INDEX('Airtable Input'!$A:$Z, 10, MATCH("Caption_EN", 'Airtable Input'!$1:$1, 0))="","",INDEX('Airtable Input'!$A:$Z, 10, MATCH("Caption_EN", 'Airtable Input'!$1:$1, 0))&amp;CHAR(10)&amp;CHAR(10)&amp;INDEX('Airtable Input'!$A:$Z, 10, MATCH("Hashtags_IG", 'Airtable Input'!$1:$1, 0))),"")</f>
        <v/>
      </c>
      <c r="C10" s="15"/>
      <c r="D10" s="15" t="n">
        <f aca="false">IFERROR(INDEX('Airtable Input'!$A:$Z, 10, MATCH("Image_URL", 'Airtable Input'!$1:$1, 0)),"")</f>
        <v>0</v>
      </c>
      <c r="E10" s="15"/>
      <c r="F10" s="15"/>
      <c r="G10" s="15" t="n">
        <f aca="false">IFERROR(INDEX('Airtable Input'!$A:$Z, 10, MATCH("Headline_EN", 'Airtable Input'!$1:$1, 0)),"")</f>
        <v>0</v>
      </c>
      <c r="H10" s="15" t="str">
        <f aca="false">IFERROR(IF(INDEX('Airtable Input'!$A:$Z, 10, MATCH("URL_Organic_UTM", 'Airtable Input'!$1:$1, 0))="","","🔗 Full details: "&amp;INDEX('Airtable Input'!$A:$Z, 10, MATCH("URL_Organic_UTM", 'Airtable Input'!$1:$1, 0))),"")</f>
        <v/>
      </c>
      <c r="I10" s="15" t="str">
        <f aca="false">IFERROR(IF(INDEX('Airtable Input'!$A:$Z, 10, MATCH("Format", 'Airtable Input'!$1:$1, 0))="Reel","Reel",IF(INDEX('Airtable Input'!$A:$Z, 10, MATCH("Format", 'Airtable Input'!$1:$1, 0))="Story","Story","")),"")</f>
        <v/>
      </c>
      <c r="J10" s="15"/>
      <c r="K10" s="15"/>
      <c r="L10" s="15"/>
    </row>
    <row r="11" customFormat="false" ht="15" hidden="false" customHeight="false" outlineLevel="0" collapsed="false">
      <c r="A11" s="15" t="str">
        <f aca="false">IFERROR(IF(INDEX('Airtable Input'!$A:$Z, 11, MATCH("Date", 'Airtable Input'!$1:$1, 0))="","",SUBSTITUTE(TEXT(INDEX('Airtable Input'!$A:$Z, 11, MATCH("Date", 'Airtable Input'!$1:$1, 0)),"YYYY-MM-DD"),"-","/")&amp;" "&amp;INDEX('Airtable Input'!$A:$Z, 11, MATCH("Time_NZST", 'Airtable Input'!$1:$1, 0))),"")</f>
        <v/>
      </c>
      <c r="B11" s="15" t="str">
        <f aca="false">IFERROR(IF(INDEX('Airtable Input'!$A:$Z, 11, MATCH("Caption_EN", 'Airtable Input'!$1:$1, 0))="","",INDEX('Airtable Input'!$A:$Z, 11, MATCH("Caption_EN", 'Airtable Input'!$1:$1, 0))&amp;CHAR(10)&amp;CHAR(10)&amp;INDEX('Airtable Input'!$A:$Z, 11, MATCH("Hashtags_IG", 'Airtable Input'!$1:$1, 0))),"")</f>
        <v/>
      </c>
      <c r="C11" s="15"/>
      <c r="D11" s="15" t="n">
        <f aca="false">IFERROR(INDEX('Airtable Input'!$A:$Z, 11, MATCH("Image_URL", 'Airtable Input'!$1:$1, 0)),"")</f>
        <v>0</v>
      </c>
      <c r="E11" s="15"/>
      <c r="F11" s="15"/>
      <c r="G11" s="15" t="n">
        <f aca="false">IFERROR(INDEX('Airtable Input'!$A:$Z, 11, MATCH("Headline_EN", 'Airtable Input'!$1:$1, 0)),"")</f>
        <v>0</v>
      </c>
      <c r="H11" s="15" t="str">
        <f aca="false">IFERROR(IF(INDEX('Airtable Input'!$A:$Z, 11, MATCH("URL_Organic_UTM", 'Airtable Input'!$1:$1, 0))="","","🔗 Full details: "&amp;INDEX('Airtable Input'!$A:$Z, 11, MATCH("URL_Organic_UTM", 'Airtable Input'!$1:$1, 0))),"")</f>
        <v/>
      </c>
      <c r="I11" s="15" t="str">
        <f aca="false">IFERROR(IF(INDEX('Airtable Input'!$A:$Z, 11, MATCH("Format", 'Airtable Input'!$1:$1, 0))="Reel","Reel",IF(INDEX('Airtable Input'!$A:$Z, 11, MATCH("Format", 'Airtable Input'!$1:$1, 0))="Story","Story","")),"")</f>
        <v/>
      </c>
      <c r="J11" s="15"/>
      <c r="K11" s="15"/>
      <c r="L11" s="15"/>
    </row>
    <row r="12" customFormat="false" ht="15" hidden="false" customHeight="false" outlineLevel="0" collapsed="false">
      <c r="A12" s="15" t="str">
        <f aca="false">IFERROR(IF(INDEX('Airtable Input'!$A:$Z, 12, MATCH("Date", 'Airtable Input'!$1:$1, 0))="","",SUBSTITUTE(TEXT(INDEX('Airtable Input'!$A:$Z, 12, MATCH("Date", 'Airtable Input'!$1:$1, 0)),"YYYY-MM-DD"),"-","/")&amp;" "&amp;INDEX('Airtable Input'!$A:$Z, 12, MATCH("Time_NZST", 'Airtable Input'!$1:$1, 0))),"")</f>
        <v/>
      </c>
      <c r="B12" s="15" t="str">
        <f aca="false">IFERROR(IF(INDEX('Airtable Input'!$A:$Z, 12, MATCH("Caption_EN", 'Airtable Input'!$1:$1, 0))="","",INDEX('Airtable Input'!$A:$Z, 12, MATCH("Caption_EN", 'Airtable Input'!$1:$1, 0))&amp;CHAR(10)&amp;CHAR(10)&amp;INDEX('Airtable Input'!$A:$Z, 12, MATCH("Hashtags_IG", 'Airtable Input'!$1:$1, 0))),"")</f>
        <v/>
      </c>
      <c r="C12" s="15"/>
      <c r="D12" s="15" t="n">
        <f aca="false">IFERROR(INDEX('Airtable Input'!$A:$Z, 12, MATCH("Image_URL", 'Airtable Input'!$1:$1, 0)),"")</f>
        <v>0</v>
      </c>
      <c r="E12" s="15"/>
      <c r="F12" s="15"/>
      <c r="G12" s="15" t="n">
        <f aca="false">IFERROR(INDEX('Airtable Input'!$A:$Z, 12, MATCH("Headline_EN", 'Airtable Input'!$1:$1, 0)),"")</f>
        <v>0</v>
      </c>
      <c r="H12" s="15" t="str">
        <f aca="false">IFERROR(IF(INDEX('Airtable Input'!$A:$Z, 12, MATCH("URL_Organic_UTM", 'Airtable Input'!$1:$1, 0))="","","🔗 Full details: "&amp;INDEX('Airtable Input'!$A:$Z, 12, MATCH("URL_Organic_UTM", 'Airtable Input'!$1:$1, 0))),"")</f>
        <v/>
      </c>
      <c r="I12" s="15" t="str">
        <f aca="false">IFERROR(IF(INDEX('Airtable Input'!$A:$Z, 12, MATCH("Format", 'Airtable Input'!$1:$1, 0))="Reel","Reel",IF(INDEX('Airtable Input'!$A:$Z, 12, MATCH("Format", 'Airtable Input'!$1:$1, 0))="Story","Story","")),"")</f>
        <v/>
      </c>
      <c r="J12" s="15"/>
      <c r="K12" s="15"/>
      <c r="L12" s="15"/>
    </row>
    <row r="13" customFormat="false" ht="15" hidden="false" customHeight="false" outlineLevel="0" collapsed="false">
      <c r="A13" s="15" t="str">
        <f aca="false">IFERROR(IF(INDEX('Airtable Input'!$A:$Z, 13, MATCH("Date", 'Airtable Input'!$1:$1, 0))="","",SUBSTITUTE(TEXT(INDEX('Airtable Input'!$A:$Z, 13, MATCH("Date", 'Airtable Input'!$1:$1, 0)),"YYYY-MM-DD"),"-","/")&amp;" "&amp;INDEX('Airtable Input'!$A:$Z, 13, MATCH("Time_NZST", 'Airtable Input'!$1:$1, 0))),"")</f>
        <v/>
      </c>
      <c r="B13" s="15" t="str">
        <f aca="false">IFERROR(IF(INDEX('Airtable Input'!$A:$Z, 13, MATCH("Caption_EN", 'Airtable Input'!$1:$1, 0))="","",INDEX('Airtable Input'!$A:$Z, 13, MATCH("Caption_EN", 'Airtable Input'!$1:$1, 0))&amp;CHAR(10)&amp;CHAR(10)&amp;INDEX('Airtable Input'!$A:$Z, 13, MATCH("Hashtags_IG", 'Airtable Input'!$1:$1, 0))),"")</f>
        <v/>
      </c>
      <c r="C13" s="15"/>
      <c r="D13" s="15" t="n">
        <f aca="false">IFERROR(INDEX('Airtable Input'!$A:$Z, 13, MATCH("Image_URL", 'Airtable Input'!$1:$1, 0)),"")</f>
        <v>0</v>
      </c>
      <c r="E13" s="15"/>
      <c r="F13" s="15"/>
      <c r="G13" s="15" t="n">
        <f aca="false">IFERROR(INDEX('Airtable Input'!$A:$Z, 13, MATCH("Headline_EN", 'Airtable Input'!$1:$1, 0)),"")</f>
        <v>0</v>
      </c>
      <c r="H13" s="15" t="str">
        <f aca="false">IFERROR(IF(INDEX('Airtable Input'!$A:$Z, 13, MATCH("URL_Organic_UTM", 'Airtable Input'!$1:$1, 0))="","","🔗 Full details: "&amp;INDEX('Airtable Input'!$A:$Z, 13, MATCH("URL_Organic_UTM", 'Airtable Input'!$1:$1, 0))),"")</f>
        <v/>
      </c>
      <c r="I13" s="15" t="str">
        <f aca="false">IFERROR(IF(INDEX('Airtable Input'!$A:$Z, 13, MATCH("Format", 'Airtable Input'!$1:$1, 0))="Reel","Reel",IF(INDEX('Airtable Input'!$A:$Z, 13, MATCH("Format", 'Airtable Input'!$1:$1, 0))="Story","Story","")),"")</f>
        <v/>
      </c>
      <c r="J13" s="15"/>
      <c r="K13" s="15"/>
      <c r="L13" s="15"/>
    </row>
    <row r="14" customFormat="false" ht="15" hidden="false" customHeight="false" outlineLevel="0" collapsed="false">
      <c r="A14" s="15" t="str">
        <f aca="false">IFERROR(IF(INDEX('Airtable Input'!$A:$Z, 14, MATCH("Date", 'Airtable Input'!$1:$1, 0))="","",SUBSTITUTE(TEXT(INDEX('Airtable Input'!$A:$Z, 14, MATCH("Date", 'Airtable Input'!$1:$1, 0)),"YYYY-MM-DD"),"-","/")&amp;" "&amp;INDEX('Airtable Input'!$A:$Z, 14, MATCH("Time_NZST", 'Airtable Input'!$1:$1, 0))),"")</f>
        <v/>
      </c>
      <c r="B14" s="15" t="str">
        <f aca="false">IFERROR(IF(INDEX('Airtable Input'!$A:$Z, 14, MATCH("Caption_EN", 'Airtable Input'!$1:$1, 0))="","",INDEX('Airtable Input'!$A:$Z, 14, MATCH("Caption_EN", 'Airtable Input'!$1:$1, 0))&amp;CHAR(10)&amp;CHAR(10)&amp;INDEX('Airtable Input'!$A:$Z, 14, MATCH("Hashtags_IG", 'Airtable Input'!$1:$1, 0))),"")</f>
        <v/>
      </c>
      <c r="C14" s="15"/>
      <c r="D14" s="15" t="n">
        <f aca="false">IFERROR(INDEX('Airtable Input'!$A:$Z, 14, MATCH("Image_URL", 'Airtable Input'!$1:$1, 0)),"")</f>
        <v>0</v>
      </c>
      <c r="E14" s="15"/>
      <c r="F14" s="15"/>
      <c r="G14" s="15" t="n">
        <f aca="false">IFERROR(INDEX('Airtable Input'!$A:$Z, 14, MATCH("Headline_EN", 'Airtable Input'!$1:$1, 0)),"")</f>
        <v>0</v>
      </c>
      <c r="H14" s="15" t="str">
        <f aca="false">IFERROR(IF(INDEX('Airtable Input'!$A:$Z, 14, MATCH("URL_Organic_UTM", 'Airtable Input'!$1:$1, 0))="","","🔗 Full details: "&amp;INDEX('Airtable Input'!$A:$Z, 14, MATCH("URL_Organic_UTM", 'Airtable Input'!$1:$1, 0))),"")</f>
        <v/>
      </c>
      <c r="I14" s="15" t="str">
        <f aca="false">IFERROR(IF(INDEX('Airtable Input'!$A:$Z, 14, MATCH("Format", 'Airtable Input'!$1:$1, 0))="Reel","Reel",IF(INDEX('Airtable Input'!$A:$Z, 14, MATCH("Format", 'Airtable Input'!$1:$1, 0))="Story","Story","")),"")</f>
        <v/>
      </c>
      <c r="J14" s="15"/>
      <c r="K14" s="15"/>
      <c r="L14" s="15"/>
    </row>
    <row r="15" customFormat="false" ht="15" hidden="false" customHeight="false" outlineLevel="0" collapsed="false">
      <c r="A15" s="15" t="str">
        <f aca="false">IFERROR(IF(INDEX('Airtable Input'!$A:$Z, 15, MATCH("Date", 'Airtable Input'!$1:$1, 0))="","",SUBSTITUTE(TEXT(INDEX('Airtable Input'!$A:$Z, 15, MATCH("Date", 'Airtable Input'!$1:$1, 0)),"YYYY-MM-DD"),"-","/")&amp;" "&amp;INDEX('Airtable Input'!$A:$Z, 15, MATCH("Time_NZST", 'Airtable Input'!$1:$1, 0))),"")</f>
        <v/>
      </c>
      <c r="B15" s="15" t="str">
        <f aca="false">IFERROR(IF(INDEX('Airtable Input'!$A:$Z, 15, MATCH("Caption_EN", 'Airtable Input'!$1:$1, 0))="","",INDEX('Airtable Input'!$A:$Z, 15, MATCH("Caption_EN", 'Airtable Input'!$1:$1, 0))&amp;CHAR(10)&amp;CHAR(10)&amp;INDEX('Airtable Input'!$A:$Z, 15, MATCH("Hashtags_IG", 'Airtable Input'!$1:$1, 0))),"")</f>
        <v/>
      </c>
      <c r="C15" s="15"/>
      <c r="D15" s="15" t="n">
        <f aca="false">IFERROR(INDEX('Airtable Input'!$A:$Z, 15, MATCH("Image_URL", 'Airtable Input'!$1:$1, 0)),"")</f>
        <v>0</v>
      </c>
      <c r="E15" s="15"/>
      <c r="F15" s="15"/>
      <c r="G15" s="15" t="n">
        <f aca="false">IFERROR(INDEX('Airtable Input'!$A:$Z, 15, MATCH("Headline_EN", 'Airtable Input'!$1:$1, 0)),"")</f>
        <v>0</v>
      </c>
      <c r="H15" s="15" t="str">
        <f aca="false">IFERROR(IF(INDEX('Airtable Input'!$A:$Z, 15, MATCH("URL_Organic_UTM", 'Airtable Input'!$1:$1, 0))="","","🔗 Full details: "&amp;INDEX('Airtable Input'!$A:$Z, 15, MATCH("URL_Organic_UTM", 'Airtable Input'!$1:$1, 0))),"")</f>
        <v/>
      </c>
      <c r="I15" s="15" t="str">
        <f aca="false">IFERROR(IF(INDEX('Airtable Input'!$A:$Z, 15, MATCH("Format", 'Airtable Input'!$1:$1, 0))="Reel","Reel",IF(INDEX('Airtable Input'!$A:$Z, 15, MATCH("Format", 'Airtable Input'!$1:$1, 0))="Story","Story","")),"")</f>
        <v/>
      </c>
      <c r="J15" s="15"/>
      <c r="K15" s="15"/>
      <c r="L15" s="15"/>
    </row>
    <row r="16" customFormat="false" ht="15" hidden="false" customHeight="false" outlineLevel="0" collapsed="false">
      <c r="A16" s="15" t="str">
        <f aca="false">IFERROR(IF(INDEX('Airtable Input'!$A:$Z, 16, MATCH("Date", 'Airtable Input'!$1:$1, 0))="","",SUBSTITUTE(TEXT(INDEX('Airtable Input'!$A:$Z, 16, MATCH("Date", 'Airtable Input'!$1:$1, 0)),"YYYY-MM-DD"),"-","/")&amp;" "&amp;INDEX('Airtable Input'!$A:$Z, 16, MATCH("Time_NZST", 'Airtable Input'!$1:$1, 0))),"")</f>
        <v/>
      </c>
      <c r="B16" s="15" t="str">
        <f aca="false">IFERROR(IF(INDEX('Airtable Input'!$A:$Z, 16, MATCH("Caption_EN", 'Airtable Input'!$1:$1, 0))="","",INDEX('Airtable Input'!$A:$Z, 16, MATCH("Caption_EN", 'Airtable Input'!$1:$1, 0))&amp;CHAR(10)&amp;CHAR(10)&amp;INDEX('Airtable Input'!$A:$Z, 16, MATCH("Hashtags_IG", 'Airtable Input'!$1:$1, 0))),"")</f>
        <v/>
      </c>
      <c r="C16" s="15"/>
      <c r="D16" s="15" t="n">
        <f aca="false">IFERROR(INDEX('Airtable Input'!$A:$Z, 16, MATCH("Image_URL", 'Airtable Input'!$1:$1, 0)),"")</f>
        <v>0</v>
      </c>
      <c r="E16" s="15"/>
      <c r="F16" s="15"/>
      <c r="G16" s="15" t="n">
        <f aca="false">IFERROR(INDEX('Airtable Input'!$A:$Z, 16, MATCH("Headline_EN", 'Airtable Input'!$1:$1, 0)),"")</f>
        <v>0</v>
      </c>
      <c r="H16" s="15" t="str">
        <f aca="false">IFERROR(IF(INDEX('Airtable Input'!$A:$Z, 16, MATCH("URL_Organic_UTM", 'Airtable Input'!$1:$1, 0))="","","🔗 Full details: "&amp;INDEX('Airtable Input'!$A:$Z, 16, MATCH("URL_Organic_UTM", 'Airtable Input'!$1:$1, 0))),"")</f>
        <v/>
      </c>
      <c r="I16" s="15" t="str">
        <f aca="false">IFERROR(IF(INDEX('Airtable Input'!$A:$Z, 16, MATCH("Format", 'Airtable Input'!$1:$1, 0))="Reel","Reel",IF(INDEX('Airtable Input'!$A:$Z, 16, MATCH("Format", 'Airtable Input'!$1:$1, 0))="Story","Story","")),"")</f>
        <v/>
      </c>
      <c r="J16" s="15"/>
      <c r="K16" s="15"/>
      <c r="L16" s="15"/>
    </row>
    <row r="17" customFormat="false" ht="15" hidden="false" customHeight="false" outlineLevel="0" collapsed="false">
      <c r="A17" s="15" t="str">
        <f aca="false">IFERROR(IF(INDEX('Airtable Input'!$A:$Z, 17, MATCH("Date", 'Airtable Input'!$1:$1, 0))="","",SUBSTITUTE(TEXT(INDEX('Airtable Input'!$A:$Z, 17, MATCH("Date", 'Airtable Input'!$1:$1, 0)),"YYYY-MM-DD"),"-","/")&amp;" "&amp;INDEX('Airtable Input'!$A:$Z, 17, MATCH("Time_NZST", 'Airtable Input'!$1:$1, 0))),"")</f>
        <v/>
      </c>
      <c r="B17" s="15" t="str">
        <f aca="false">IFERROR(IF(INDEX('Airtable Input'!$A:$Z, 17, MATCH("Caption_EN", 'Airtable Input'!$1:$1, 0))="","",INDEX('Airtable Input'!$A:$Z, 17, MATCH("Caption_EN", 'Airtable Input'!$1:$1, 0))&amp;CHAR(10)&amp;CHAR(10)&amp;INDEX('Airtable Input'!$A:$Z, 17, MATCH("Hashtags_IG", 'Airtable Input'!$1:$1, 0))),"")</f>
        <v/>
      </c>
      <c r="C17" s="15"/>
      <c r="D17" s="15" t="n">
        <f aca="false">IFERROR(INDEX('Airtable Input'!$A:$Z, 17, MATCH("Image_URL", 'Airtable Input'!$1:$1, 0)),"")</f>
        <v>0</v>
      </c>
      <c r="E17" s="15"/>
      <c r="F17" s="15"/>
      <c r="G17" s="15" t="n">
        <f aca="false">IFERROR(INDEX('Airtable Input'!$A:$Z, 17, MATCH("Headline_EN", 'Airtable Input'!$1:$1, 0)),"")</f>
        <v>0</v>
      </c>
      <c r="H17" s="15" t="str">
        <f aca="false">IFERROR(IF(INDEX('Airtable Input'!$A:$Z, 17, MATCH("URL_Organic_UTM", 'Airtable Input'!$1:$1, 0))="","","🔗 Full details: "&amp;INDEX('Airtable Input'!$A:$Z, 17, MATCH("URL_Organic_UTM", 'Airtable Input'!$1:$1, 0))),"")</f>
        <v/>
      </c>
      <c r="I17" s="15" t="str">
        <f aca="false">IFERROR(IF(INDEX('Airtable Input'!$A:$Z, 17, MATCH("Format", 'Airtable Input'!$1:$1, 0))="Reel","Reel",IF(INDEX('Airtable Input'!$A:$Z, 17, MATCH("Format", 'Airtable Input'!$1:$1, 0))="Story","Story","")),"")</f>
        <v/>
      </c>
      <c r="J17" s="15"/>
      <c r="K17" s="15"/>
      <c r="L17" s="15"/>
    </row>
    <row r="18" customFormat="false" ht="15" hidden="false" customHeight="false" outlineLevel="0" collapsed="false">
      <c r="A18" s="15" t="str">
        <f aca="false">IFERROR(IF(INDEX('Airtable Input'!$A:$Z, 18, MATCH("Date", 'Airtable Input'!$1:$1, 0))="","",SUBSTITUTE(TEXT(INDEX('Airtable Input'!$A:$Z, 18, MATCH("Date", 'Airtable Input'!$1:$1, 0)),"YYYY-MM-DD"),"-","/")&amp;" "&amp;INDEX('Airtable Input'!$A:$Z, 18, MATCH("Time_NZST", 'Airtable Input'!$1:$1, 0))),"")</f>
        <v/>
      </c>
      <c r="B18" s="15" t="str">
        <f aca="false">IFERROR(IF(INDEX('Airtable Input'!$A:$Z, 18, MATCH("Caption_EN", 'Airtable Input'!$1:$1, 0))="","",INDEX('Airtable Input'!$A:$Z, 18, MATCH("Caption_EN", 'Airtable Input'!$1:$1, 0))&amp;CHAR(10)&amp;CHAR(10)&amp;INDEX('Airtable Input'!$A:$Z, 18, MATCH("Hashtags_IG", 'Airtable Input'!$1:$1, 0))),"")</f>
        <v/>
      </c>
      <c r="C18" s="15"/>
      <c r="D18" s="15" t="n">
        <f aca="false">IFERROR(INDEX('Airtable Input'!$A:$Z, 18, MATCH("Image_URL", 'Airtable Input'!$1:$1, 0)),"")</f>
        <v>0</v>
      </c>
      <c r="E18" s="15"/>
      <c r="F18" s="15"/>
      <c r="G18" s="15" t="n">
        <f aca="false">IFERROR(INDEX('Airtable Input'!$A:$Z, 18, MATCH("Headline_EN", 'Airtable Input'!$1:$1, 0)),"")</f>
        <v>0</v>
      </c>
      <c r="H18" s="15" t="str">
        <f aca="false">IFERROR(IF(INDEX('Airtable Input'!$A:$Z, 18, MATCH("URL_Organic_UTM", 'Airtable Input'!$1:$1, 0))="","","🔗 Full details: "&amp;INDEX('Airtable Input'!$A:$Z, 18, MATCH("URL_Organic_UTM", 'Airtable Input'!$1:$1, 0))),"")</f>
        <v/>
      </c>
      <c r="I18" s="15" t="str">
        <f aca="false">IFERROR(IF(INDEX('Airtable Input'!$A:$Z, 18, MATCH("Format", 'Airtable Input'!$1:$1, 0))="Reel","Reel",IF(INDEX('Airtable Input'!$A:$Z, 18, MATCH("Format", 'Airtable Input'!$1:$1, 0))="Story","Story","")),"")</f>
        <v/>
      </c>
      <c r="J18" s="15"/>
      <c r="K18" s="15"/>
      <c r="L18" s="15"/>
    </row>
    <row r="19" customFormat="false" ht="15" hidden="false" customHeight="false" outlineLevel="0" collapsed="false">
      <c r="A19" s="15" t="str">
        <f aca="false">IFERROR(IF(INDEX('Airtable Input'!$A:$Z, 19, MATCH("Date", 'Airtable Input'!$1:$1, 0))="","",SUBSTITUTE(TEXT(INDEX('Airtable Input'!$A:$Z, 19, MATCH("Date", 'Airtable Input'!$1:$1, 0)),"YYYY-MM-DD"),"-","/")&amp;" "&amp;INDEX('Airtable Input'!$A:$Z, 19, MATCH("Time_NZST", 'Airtable Input'!$1:$1, 0))),"")</f>
        <v/>
      </c>
      <c r="B19" s="15" t="str">
        <f aca="false">IFERROR(IF(INDEX('Airtable Input'!$A:$Z, 19, MATCH("Caption_EN", 'Airtable Input'!$1:$1, 0))="","",INDEX('Airtable Input'!$A:$Z, 19, MATCH("Caption_EN", 'Airtable Input'!$1:$1, 0))&amp;CHAR(10)&amp;CHAR(10)&amp;INDEX('Airtable Input'!$A:$Z, 19, MATCH("Hashtags_IG", 'Airtable Input'!$1:$1, 0))),"")</f>
        <v/>
      </c>
      <c r="C19" s="15"/>
      <c r="D19" s="15" t="n">
        <f aca="false">IFERROR(INDEX('Airtable Input'!$A:$Z, 19, MATCH("Image_URL", 'Airtable Input'!$1:$1, 0)),"")</f>
        <v>0</v>
      </c>
      <c r="E19" s="15"/>
      <c r="F19" s="15"/>
      <c r="G19" s="15" t="n">
        <f aca="false">IFERROR(INDEX('Airtable Input'!$A:$Z, 19, MATCH("Headline_EN", 'Airtable Input'!$1:$1, 0)),"")</f>
        <v>0</v>
      </c>
      <c r="H19" s="15" t="str">
        <f aca="false">IFERROR(IF(INDEX('Airtable Input'!$A:$Z, 19, MATCH("URL_Organic_UTM", 'Airtable Input'!$1:$1, 0))="","","🔗 Full details: "&amp;INDEX('Airtable Input'!$A:$Z, 19, MATCH("URL_Organic_UTM", 'Airtable Input'!$1:$1, 0))),"")</f>
        <v/>
      </c>
      <c r="I19" s="15" t="str">
        <f aca="false">IFERROR(IF(INDEX('Airtable Input'!$A:$Z, 19, MATCH("Format", 'Airtable Input'!$1:$1, 0))="Reel","Reel",IF(INDEX('Airtable Input'!$A:$Z, 19, MATCH("Format", 'Airtable Input'!$1:$1, 0))="Story","Story","")),"")</f>
        <v/>
      </c>
      <c r="J19" s="15"/>
      <c r="K19" s="15"/>
      <c r="L19" s="15"/>
    </row>
    <row r="20" customFormat="false" ht="15" hidden="false" customHeight="false" outlineLevel="0" collapsed="false">
      <c r="A20" s="15" t="str">
        <f aca="false">IFERROR(IF(INDEX('Airtable Input'!$A:$Z, 20, MATCH("Date", 'Airtable Input'!$1:$1, 0))="","",SUBSTITUTE(TEXT(INDEX('Airtable Input'!$A:$Z, 20, MATCH("Date", 'Airtable Input'!$1:$1, 0)),"YYYY-MM-DD"),"-","/")&amp;" "&amp;INDEX('Airtable Input'!$A:$Z, 20, MATCH("Time_NZST", 'Airtable Input'!$1:$1, 0))),"")</f>
        <v/>
      </c>
      <c r="B20" s="15" t="str">
        <f aca="false">IFERROR(IF(INDEX('Airtable Input'!$A:$Z, 20, MATCH("Caption_EN", 'Airtable Input'!$1:$1, 0))="","",INDEX('Airtable Input'!$A:$Z, 20, MATCH("Caption_EN", 'Airtable Input'!$1:$1, 0))&amp;CHAR(10)&amp;CHAR(10)&amp;INDEX('Airtable Input'!$A:$Z, 20, MATCH("Hashtags_IG", 'Airtable Input'!$1:$1, 0))),"")</f>
        <v/>
      </c>
      <c r="C20" s="15"/>
      <c r="D20" s="15" t="n">
        <f aca="false">IFERROR(INDEX('Airtable Input'!$A:$Z, 20, MATCH("Image_URL", 'Airtable Input'!$1:$1, 0)),"")</f>
        <v>0</v>
      </c>
      <c r="E20" s="15"/>
      <c r="F20" s="15"/>
      <c r="G20" s="15" t="n">
        <f aca="false">IFERROR(INDEX('Airtable Input'!$A:$Z, 20, MATCH("Headline_EN", 'Airtable Input'!$1:$1, 0)),"")</f>
        <v>0</v>
      </c>
      <c r="H20" s="15" t="str">
        <f aca="false">IFERROR(IF(INDEX('Airtable Input'!$A:$Z, 20, MATCH("URL_Organic_UTM", 'Airtable Input'!$1:$1, 0))="","","🔗 Full details: "&amp;INDEX('Airtable Input'!$A:$Z, 20, MATCH("URL_Organic_UTM", 'Airtable Input'!$1:$1, 0))),"")</f>
        <v/>
      </c>
      <c r="I20" s="15" t="str">
        <f aca="false">IFERROR(IF(INDEX('Airtable Input'!$A:$Z, 20, MATCH("Format", 'Airtable Input'!$1:$1, 0))="Reel","Reel",IF(INDEX('Airtable Input'!$A:$Z, 20, MATCH("Format", 'Airtable Input'!$1:$1, 0))="Story","Story","")),"")</f>
        <v/>
      </c>
      <c r="J20" s="15"/>
      <c r="K20" s="15"/>
      <c r="L20" s="15"/>
    </row>
    <row r="21" customFormat="false" ht="15" hidden="false" customHeight="false" outlineLevel="0" collapsed="false">
      <c r="A21" s="15" t="str">
        <f aca="false">IFERROR(IF(INDEX('Airtable Input'!$A:$Z, 21, MATCH("Date", 'Airtable Input'!$1:$1, 0))="","",SUBSTITUTE(TEXT(INDEX('Airtable Input'!$A:$Z, 21, MATCH("Date", 'Airtable Input'!$1:$1, 0)),"YYYY-MM-DD"),"-","/")&amp;" "&amp;INDEX('Airtable Input'!$A:$Z, 21, MATCH("Time_NZST", 'Airtable Input'!$1:$1, 0))),"")</f>
        <v/>
      </c>
      <c r="B21" s="15" t="str">
        <f aca="false">IFERROR(IF(INDEX('Airtable Input'!$A:$Z, 21, MATCH("Caption_EN", 'Airtable Input'!$1:$1, 0))="","",INDEX('Airtable Input'!$A:$Z, 21, MATCH("Caption_EN", 'Airtable Input'!$1:$1, 0))&amp;CHAR(10)&amp;CHAR(10)&amp;INDEX('Airtable Input'!$A:$Z, 21, MATCH("Hashtags_IG", 'Airtable Input'!$1:$1, 0))),"")</f>
        <v/>
      </c>
      <c r="C21" s="15"/>
      <c r="D21" s="15" t="n">
        <f aca="false">IFERROR(INDEX('Airtable Input'!$A:$Z, 21, MATCH("Image_URL", 'Airtable Input'!$1:$1, 0)),"")</f>
        <v>0</v>
      </c>
      <c r="E21" s="15"/>
      <c r="F21" s="15"/>
      <c r="G21" s="15" t="n">
        <f aca="false">IFERROR(INDEX('Airtable Input'!$A:$Z, 21, MATCH("Headline_EN", 'Airtable Input'!$1:$1, 0)),"")</f>
        <v>0</v>
      </c>
      <c r="H21" s="15" t="str">
        <f aca="false">IFERROR(IF(INDEX('Airtable Input'!$A:$Z, 21, MATCH("URL_Organic_UTM", 'Airtable Input'!$1:$1, 0))="","","🔗 Full details: "&amp;INDEX('Airtable Input'!$A:$Z, 21, MATCH("URL_Organic_UTM", 'Airtable Input'!$1:$1, 0))),"")</f>
        <v/>
      </c>
      <c r="I21" s="15" t="str">
        <f aca="false">IFERROR(IF(INDEX('Airtable Input'!$A:$Z, 21, MATCH("Format", 'Airtable Input'!$1:$1, 0))="Reel","Reel",IF(INDEX('Airtable Input'!$A:$Z, 21, MATCH("Format", 'Airtable Input'!$1:$1, 0))="Story","Story","")),"")</f>
        <v/>
      </c>
      <c r="J21" s="15"/>
      <c r="K21" s="15"/>
      <c r="L21" s="15"/>
    </row>
    <row r="22" customFormat="false" ht="15" hidden="false" customHeight="false" outlineLevel="0" collapsed="false">
      <c r="A22" s="15" t="str">
        <f aca="false">IFERROR(IF(INDEX('Airtable Input'!$A:$Z, 22, MATCH("Date", 'Airtable Input'!$1:$1, 0))="","",SUBSTITUTE(TEXT(INDEX('Airtable Input'!$A:$Z, 22, MATCH("Date", 'Airtable Input'!$1:$1, 0)),"YYYY-MM-DD"),"-","/")&amp;" "&amp;INDEX('Airtable Input'!$A:$Z, 22, MATCH("Time_NZST", 'Airtable Input'!$1:$1, 0))),"")</f>
        <v/>
      </c>
      <c r="B22" s="15" t="str">
        <f aca="false">IFERROR(IF(INDEX('Airtable Input'!$A:$Z, 22, MATCH("Caption_EN", 'Airtable Input'!$1:$1, 0))="","",INDEX('Airtable Input'!$A:$Z, 22, MATCH("Caption_EN", 'Airtable Input'!$1:$1, 0))&amp;CHAR(10)&amp;CHAR(10)&amp;INDEX('Airtable Input'!$A:$Z, 22, MATCH("Hashtags_IG", 'Airtable Input'!$1:$1, 0))),"")</f>
        <v/>
      </c>
      <c r="C22" s="15"/>
      <c r="D22" s="15" t="n">
        <f aca="false">IFERROR(INDEX('Airtable Input'!$A:$Z, 22, MATCH("Image_URL", 'Airtable Input'!$1:$1, 0)),"")</f>
        <v>0</v>
      </c>
      <c r="E22" s="15"/>
      <c r="F22" s="15"/>
      <c r="G22" s="15" t="n">
        <f aca="false">IFERROR(INDEX('Airtable Input'!$A:$Z, 22, MATCH("Headline_EN", 'Airtable Input'!$1:$1, 0)),"")</f>
        <v>0</v>
      </c>
      <c r="H22" s="15" t="str">
        <f aca="false">IFERROR(IF(INDEX('Airtable Input'!$A:$Z, 22, MATCH("URL_Organic_UTM", 'Airtable Input'!$1:$1, 0))="","","🔗 Full details: "&amp;INDEX('Airtable Input'!$A:$Z, 22, MATCH("URL_Organic_UTM", 'Airtable Input'!$1:$1, 0))),"")</f>
        <v/>
      </c>
      <c r="I22" s="15" t="str">
        <f aca="false">IFERROR(IF(INDEX('Airtable Input'!$A:$Z, 22, MATCH("Format", 'Airtable Input'!$1:$1, 0))="Reel","Reel",IF(INDEX('Airtable Input'!$A:$Z, 22, MATCH("Format", 'Airtable Input'!$1:$1, 0))="Story","Story","")),"")</f>
        <v/>
      </c>
      <c r="J22" s="15"/>
      <c r="K22" s="15"/>
      <c r="L22" s="15"/>
    </row>
    <row r="23" customFormat="false" ht="15" hidden="false" customHeight="false" outlineLevel="0" collapsed="false">
      <c r="A23" s="15" t="str">
        <f aca="false">IFERROR(IF(INDEX('Airtable Input'!$A:$Z, 23, MATCH("Date", 'Airtable Input'!$1:$1, 0))="","",SUBSTITUTE(TEXT(INDEX('Airtable Input'!$A:$Z, 23, MATCH("Date", 'Airtable Input'!$1:$1, 0)),"YYYY-MM-DD"),"-","/")&amp;" "&amp;INDEX('Airtable Input'!$A:$Z, 23, MATCH("Time_NZST", 'Airtable Input'!$1:$1, 0))),"")</f>
        <v/>
      </c>
      <c r="B23" s="15" t="str">
        <f aca="false">IFERROR(IF(INDEX('Airtable Input'!$A:$Z, 23, MATCH("Caption_EN", 'Airtable Input'!$1:$1, 0))="","",INDEX('Airtable Input'!$A:$Z, 23, MATCH("Caption_EN", 'Airtable Input'!$1:$1, 0))&amp;CHAR(10)&amp;CHAR(10)&amp;INDEX('Airtable Input'!$A:$Z, 23, MATCH("Hashtags_IG", 'Airtable Input'!$1:$1, 0))),"")</f>
        <v/>
      </c>
      <c r="C23" s="15"/>
      <c r="D23" s="15" t="n">
        <f aca="false">IFERROR(INDEX('Airtable Input'!$A:$Z, 23, MATCH("Image_URL", 'Airtable Input'!$1:$1, 0)),"")</f>
        <v>0</v>
      </c>
      <c r="E23" s="15"/>
      <c r="F23" s="15"/>
      <c r="G23" s="15" t="n">
        <f aca="false">IFERROR(INDEX('Airtable Input'!$A:$Z, 23, MATCH("Headline_EN", 'Airtable Input'!$1:$1, 0)),"")</f>
        <v>0</v>
      </c>
      <c r="H23" s="15" t="str">
        <f aca="false">IFERROR(IF(INDEX('Airtable Input'!$A:$Z, 23, MATCH("URL_Organic_UTM", 'Airtable Input'!$1:$1, 0))="","","🔗 Full details: "&amp;INDEX('Airtable Input'!$A:$Z, 23, MATCH("URL_Organic_UTM", 'Airtable Input'!$1:$1, 0))),"")</f>
        <v/>
      </c>
      <c r="I23" s="15" t="str">
        <f aca="false">IFERROR(IF(INDEX('Airtable Input'!$A:$Z, 23, MATCH("Format", 'Airtable Input'!$1:$1, 0))="Reel","Reel",IF(INDEX('Airtable Input'!$A:$Z, 23, MATCH("Format", 'Airtable Input'!$1:$1, 0))="Story","Story","")),"")</f>
        <v/>
      </c>
      <c r="J23" s="15"/>
      <c r="K23" s="15"/>
      <c r="L23" s="15"/>
    </row>
    <row r="24" customFormat="false" ht="15" hidden="false" customHeight="false" outlineLevel="0" collapsed="false">
      <c r="A24" s="15" t="str">
        <f aca="false">IFERROR(IF(INDEX('Airtable Input'!$A:$Z, 24, MATCH("Date", 'Airtable Input'!$1:$1, 0))="","",SUBSTITUTE(TEXT(INDEX('Airtable Input'!$A:$Z, 24, MATCH("Date", 'Airtable Input'!$1:$1, 0)),"YYYY-MM-DD"),"-","/")&amp;" "&amp;INDEX('Airtable Input'!$A:$Z, 24, MATCH("Time_NZST", 'Airtable Input'!$1:$1, 0))),"")</f>
        <v/>
      </c>
      <c r="B24" s="15" t="str">
        <f aca="false">IFERROR(IF(INDEX('Airtable Input'!$A:$Z, 24, MATCH("Caption_EN", 'Airtable Input'!$1:$1, 0))="","",INDEX('Airtable Input'!$A:$Z, 24, MATCH("Caption_EN", 'Airtable Input'!$1:$1, 0))&amp;CHAR(10)&amp;CHAR(10)&amp;INDEX('Airtable Input'!$A:$Z, 24, MATCH("Hashtags_IG", 'Airtable Input'!$1:$1, 0))),"")</f>
        <v/>
      </c>
      <c r="C24" s="15"/>
      <c r="D24" s="15" t="n">
        <f aca="false">IFERROR(INDEX('Airtable Input'!$A:$Z, 24, MATCH("Image_URL", 'Airtable Input'!$1:$1, 0)),"")</f>
        <v>0</v>
      </c>
      <c r="E24" s="15"/>
      <c r="F24" s="15"/>
      <c r="G24" s="15" t="n">
        <f aca="false">IFERROR(INDEX('Airtable Input'!$A:$Z, 24, MATCH("Headline_EN", 'Airtable Input'!$1:$1, 0)),"")</f>
        <v>0</v>
      </c>
      <c r="H24" s="15" t="str">
        <f aca="false">IFERROR(IF(INDEX('Airtable Input'!$A:$Z, 24, MATCH("URL_Organic_UTM", 'Airtable Input'!$1:$1, 0))="","","🔗 Full details: "&amp;INDEX('Airtable Input'!$A:$Z, 24, MATCH("URL_Organic_UTM", 'Airtable Input'!$1:$1, 0))),"")</f>
        <v/>
      </c>
      <c r="I24" s="15" t="str">
        <f aca="false">IFERROR(IF(INDEX('Airtable Input'!$A:$Z, 24, MATCH("Format", 'Airtable Input'!$1:$1, 0))="Reel","Reel",IF(INDEX('Airtable Input'!$A:$Z, 24, MATCH("Format", 'Airtable Input'!$1:$1, 0))="Story","Story","")),"")</f>
        <v/>
      </c>
      <c r="J24" s="15"/>
      <c r="K24" s="15"/>
      <c r="L24" s="15"/>
    </row>
    <row r="25" customFormat="false" ht="15" hidden="false" customHeight="false" outlineLevel="0" collapsed="false">
      <c r="A25" s="15" t="str">
        <f aca="false">IFERROR(IF(INDEX('Airtable Input'!$A:$Z, 25, MATCH("Date", 'Airtable Input'!$1:$1, 0))="","",SUBSTITUTE(TEXT(INDEX('Airtable Input'!$A:$Z, 25, MATCH("Date", 'Airtable Input'!$1:$1, 0)),"YYYY-MM-DD"),"-","/")&amp;" "&amp;INDEX('Airtable Input'!$A:$Z, 25, MATCH("Time_NZST", 'Airtable Input'!$1:$1, 0))),"")</f>
        <v/>
      </c>
      <c r="B25" s="15" t="str">
        <f aca="false">IFERROR(IF(INDEX('Airtable Input'!$A:$Z, 25, MATCH("Caption_EN", 'Airtable Input'!$1:$1, 0))="","",INDEX('Airtable Input'!$A:$Z, 25, MATCH("Caption_EN", 'Airtable Input'!$1:$1, 0))&amp;CHAR(10)&amp;CHAR(10)&amp;INDEX('Airtable Input'!$A:$Z, 25, MATCH("Hashtags_IG", 'Airtable Input'!$1:$1, 0))),"")</f>
        <v/>
      </c>
      <c r="C25" s="15"/>
      <c r="D25" s="15" t="n">
        <f aca="false">IFERROR(INDEX('Airtable Input'!$A:$Z, 25, MATCH("Image_URL", 'Airtable Input'!$1:$1, 0)),"")</f>
        <v>0</v>
      </c>
      <c r="E25" s="15"/>
      <c r="F25" s="15"/>
      <c r="G25" s="15" t="n">
        <f aca="false">IFERROR(INDEX('Airtable Input'!$A:$Z, 25, MATCH("Headline_EN", 'Airtable Input'!$1:$1, 0)),"")</f>
        <v>0</v>
      </c>
      <c r="H25" s="15" t="str">
        <f aca="false">IFERROR(IF(INDEX('Airtable Input'!$A:$Z, 25, MATCH("URL_Organic_UTM", 'Airtable Input'!$1:$1, 0))="","","🔗 Full details: "&amp;INDEX('Airtable Input'!$A:$Z, 25, MATCH("URL_Organic_UTM", 'Airtable Input'!$1:$1, 0))),"")</f>
        <v/>
      </c>
      <c r="I25" s="15" t="str">
        <f aca="false">IFERROR(IF(INDEX('Airtable Input'!$A:$Z, 25, MATCH("Format", 'Airtable Input'!$1:$1, 0))="Reel","Reel",IF(INDEX('Airtable Input'!$A:$Z, 25, MATCH("Format", 'Airtable Input'!$1:$1, 0))="Story","Story","")),"")</f>
        <v/>
      </c>
      <c r="J25" s="15"/>
      <c r="K25" s="15"/>
      <c r="L25" s="15"/>
    </row>
    <row r="26" customFormat="false" ht="15" hidden="false" customHeight="false" outlineLevel="0" collapsed="false">
      <c r="A26" s="15" t="str">
        <f aca="false">IFERROR(IF(INDEX('Airtable Input'!$A:$Z, 26, MATCH("Date", 'Airtable Input'!$1:$1, 0))="","",SUBSTITUTE(TEXT(INDEX('Airtable Input'!$A:$Z, 26, MATCH("Date", 'Airtable Input'!$1:$1, 0)),"YYYY-MM-DD"),"-","/")&amp;" "&amp;INDEX('Airtable Input'!$A:$Z, 26, MATCH("Time_NZST", 'Airtable Input'!$1:$1, 0))),"")</f>
        <v/>
      </c>
      <c r="B26" s="15" t="str">
        <f aca="false">IFERROR(IF(INDEX('Airtable Input'!$A:$Z, 26, MATCH("Caption_EN", 'Airtable Input'!$1:$1, 0))="","",INDEX('Airtable Input'!$A:$Z, 26, MATCH("Caption_EN", 'Airtable Input'!$1:$1, 0))&amp;CHAR(10)&amp;CHAR(10)&amp;INDEX('Airtable Input'!$A:$Z, 26, MATCH("Hashtags_IG", 'Airtable Input'!$1:$1, 0))),"")</f>
        <v/>
      </c>
      <c r="C26" s="15"/>
      <c r="D26" s="15" t="n">
        <f aca="false">IFERROR(INDEX('Airtable Input'!$A:$Z, 26, MATCH("Image_URL", 'Airtable Input'!$1:$1, 0)),"")</f>
        <v>0</v>
      </c>
      <c r="E26" s="15"/>
      <c r="F26" s="15"/>
      <c r="G26" s="15" t="n">
        <f aca="false">IFERROR(INDEX('Airtable Input'!$A:$Z, 26, MATCH("Headline_EN", 'Airtable Input'!$1:$1, 0)),"")</f>
        <v>0</v>
      </c>
      <c r="H26" s="15" t="str">
        <f aca="false">IFERROR(IF(INDEX('Airtable Input'!$A:$Z, 26, MATCH("URL_Organic_UTM", 'Airtable Input'!$1:$1, 0))="","","🔗 Full details: "&amp;INDEX('Airtable Input'!$A:$Z, 26, MATCH("URL_Organic_UTM", 'Airtable Input'!$1:$1, 0))),"")</f>
        <v/>
      </c>
      <c r="I26" s="15" t="str">
        <f aca="false">IFERROR(IF(INDEX('Airtable Input'!$A:$Z, 26, MATCH("Format", 'Airtable Input'!$1:$1, 0))="Reel","Reel",IF(INDEX('Airtable Input'!$A:$Z, 26, MATCH("Format", 'Airtable Input'!$1:$1, 0))="Story","Story","")),"")</f>
        <v/>
      </c>
      <c r="J26" s="15"/>
      <c r="K26" s="15"/>
      <c r="L26" s="15"/>
    </row>
    <row r="27" customFormat="false" ht="15" hidden="false" customHeight="false" outlineLevel="0" collapsed="false">
      <c r="A27" s="15" t="str">
        <f aca="false">IFERROR(IF(INDEX('Airtable Input'!$A:$Z, 27, MATCH("Date", 'Airtable Input'!$1:$1, 0))="","",SUBSTITUTE(TEXT(INDEX('Airtable Input'!$A:$Z, 27, MATCH("Date", 'Airtable Input'!$1:$1, 0)),"YYYY-MM-DD"),"-","/")&amp;" "&amp;INDEX('Airtable Input'!$A:$Z, 27, MATCH("Time_NZST", 'Airtable Input'!$1:$1, 0))),"")</f>
        <v/>
      </c>
      <c r="B27" s="15" t="str">
        <f aca="false">IFERROR(IF(INDEX('Airtable Input'!$A:$Z, 27, MATCH("Caption_EN", 'Airtable Input'!$1:$1, 0))="","",INDEX('Airtable Input'!$A:$Z, 27, MATCH("Caption_EN", 'Airtable Input'!$1:$1, 0))&amp;CHAR(10)&amp;CHAR(10)&amp;INDEX('Airtable Input'!$A:$Z, 27, MATCH("Hashtags_IG", 'Airtable Input'!$1:$1, 0))),"")</f>
        <v/>
      </c>
      <c r="C27" s="15"/>
      <c r="D27" s="15" t="n">
        <f aca="false">IFERROR(INDEX('Airtable Input'!$A:$Z, 27, MATCH("Image_URL", 'Airtable Input'!$1:$1, 0)),"")</f>
        <v>0</v>
      </c>
      <c r="E27" s="15"/>
      <c r="F27" s="15"/>
      <c r="G27" s="15" t="n">
        <f aca="false">IFERROR(INDEX('Airtable Input'!$A:$Z, 27, MATCH("Headline_EN", 'Airtable Input'!$1:$1, 0)),"")</f>
        <v>0</v>
      </c>
      <c r="H27" s="15" t="str">
        <f aca="false">IFERROR(IF(INDEX('Airtable Input'!$A:$Z, 27, MATCH("URL_Organic_UTM", 'Airtable Input'!$1:$1, 0))="","","🔗 Full details: "&amp;INDEX('Airtable Input'!$A:$Z, 27, MATCH("URL_Organic_UTM", 'Airtable Input'!$1:$1, 0))),"")</f>
        <v/>
      </c>
      <c r="I27" s="15" t="str">
        <f aca="false">IFERROR(IF(INDEX('Airtable Input'!$A:$Z, 27, MATCH("Format", 'Airtable Input'!$1:$1, 0))="Reel","Reel",IF(INDEX('Airtable Input'!$A:$Z, 27, MATCH("Format", 'Airtable Input'!$1:$1, 0))="Story","Story","")),"")</f>
        <v/>
      </c>
      <c r="J27" s="15"/>
      <c r="K27" s="15"/>
      <c r="L27" s="15"/>
    </row>
    <row r="28" customFormat="false" ht="15" hidden="false" customHeight="false" outlineLevel="0" collapsed="false">
      <c r="A28" s="15" t="str">
        <f aca="false">IFERROR(IF(INDEX('Airtable Input'!$A:$Z, 28, MATCH("Date", 'Airtable Input'!$1:$1, 0))="","",SUBSTITUTE(TEXT(INDEX('Airtable Input'!$A:$Z, 28, MATCH("Date", 'Airtable Input'!$1:$1, 0)),"YYYY-MM-DD"),"-","/")&amp;" "&amp;INDEX('Airtable Input'!$A:$Z, 28, MATCH("Time_NZST", 'Airtable Input'!$1:$1, 0))),"")</f>
        <v/>
      </c>
      <c r="B28" s="15" t="str">
        <f aca="false">IFERROR(IF(INDEX('Airtable Input'!$A:$Z, 28, MATCH("Caption_EN", 'Airtable Input'!$1:$1, 0))="","",INDEX('Airtable Input'!$A:$Z, 28, MATCH("Caption_EN", 'Airtable Input'!$1:$1, 0))&amp;CHAR(10)&amp;CHAR(10)&amp;INDEX('Airtable Input'!$A:$Z, 28, MATCH("Hashtags_IG", 'Airtable Input'!$1:$1, 0))),"")</f>
        <v/>
      </c>
      <c r="C28" s="15"/>
      <c r="D28" s="15" t="n">
        <f aca="false">IFERROR(INDEX('Airtable Input'!$A:$Z, 28, MATCH("Image_URL", 'Airtable Input'!$1:$1, 0)),"")</f>
        <v>0</v>
      </c>
      <c r="E28" s="15"/>
      <c r="F28" s="15"/>
      <c r="G28" s="15" t="n">
        <f aca="false">IFERROR(INDEX('Airtable Input'!$A:$Z, 28, MATCH("Headline_EN", 'Airtable Input'!$1:$1, 0)),"")</f>
        <v>0</v>
      </c>
      <c r="H28" s="15" t="str">
        <f aca="false">IFERROR(IF(INDEX('Airtable Input'!$A:$Z, 28, MATCH("URL_Organic_UTM", 'Airtable Input'!$1:$1, 0))="","","🔗 Full details: "&amp;INDEX('Airtable Input'!$A:$Z, 28, MATCH("URL_Organic_UTM", 'Airtable Input'!$1:$1, 0))),"")</f>
        <v/>
      </c>
      <c r="I28" s="15" t="str">
        <f aca="false">IFERROR(IF(INDEX('Airtable Input'!$A:$Z, 28, MATCH("Format", 'Airtable Input'!$1:$1, 0))="Reel","Reel",IF(INDEX('Airtable Input'!$A:$Z, 28, MATCH("Format", 'Airtable Input'!$1:$1, 0))="Story","Story","")),"")</f>
        <v/>
      </c>
      <c r="J28" s="15"/>
      <c r="K28" s="15"/>
      <c r="L28" s="15"/>
    </row>
    <row r="29" customFormat="false" ht="15" hidden="false" customHeight="false" outlineLevel="0" collapsed="false">
      <c r="A29" s="15" t="str">
        <f aca="false">IFERROR(IF(INDEX('Airtable Input'!$A:$Z, 29, MATCH("Date", 'Airtable Input'!$1:$1, 0))="","",SUBSTITUTE(TEXT(INDEX('Airtable Input'!$A:$Z, 29, MATCH("Date", 'Airtable Input'!$1:$1, 0)),"YYYY-MM-DD"),"-","/")&amp;" "&amp;INDEX('Airtable Input'!$A:$Z, 29, MATCH("Time_NZST", 'Airtable Input'!$1:$1, 0))),"")</f>
        <v/>
      </c>
      <c r="B29" s="15" t="str">
        <f aca="false">IFERROR(IF(INDEX('Airtable Input'!$A:$Z, 29, MATCH("Caption_EN", 'Airtable Input'!$1:$1, 0))="","",INDEX('Airtable Input'!$A:$Z, 29, MATCH("Caption_EN", 'Airtable Input'!$1:$1, 0))&amp;CHAR(10)&amp;CHAR(10)&amp;INDEX('Airtable Input'!$A:$Z, 29, MATCH("Hashtags_IG", 'Airtable Input'!$1:$1, 0))),"")</f>
        <v/>
      </c>
      <c r="C29" s="15"/>
      <c r="D29" s="15" t="n">
        <f aca="false">IFERROR(INDEX('Airtable Input'!$A:$Z, 29, MATCH("Image_URL", 'Airtable Input'!$1:$1, 0)),"")</f>
        <v>0</v>
      </c>
      <c r="E29" s="15"/>
      <c r="F29" s="15"/>
      <c r="G29" s="15" t="n">
        <f aca="false">IFERROR(INDEX('Airtable Input'!$A:$Z, 29, MATCH("Headline_EN", 'Airtable Input'!$1:$1, 0)),"")</f>
        <v>0</v>
      </c>
      <c r="H29" s="15" t="str">
        <f aca="false">IFERROR(IF(INDEX('Airtable Input'!$A:$Z, 29, MATCH("URL_Organic_UTM", 'Airtable Input'!$1:$1, 0))="","","🔗 Full details: "&amp;INDEX('Airtable Input'!$A:$Z, 29, MATCH("URL_Organic_UTM", 'Airtable Input'!$1:$1, 0))),"")</f>
        <v/>
      </c>
      <c r="I29" s="15" t="str">
        <f aca="false">IFERROR(IF(INDEX('Airtable Input'!$A:$Z, 29, MATCH("Format", 'Airtable Input'!$1:$1, 0))="Reel","Reel",IF(INDEX('Airtable Input'!$A:$Z, 29, MATCH("Format", 'Airtable Input'!$1:$1, 0))="Story","Story","")),"")</f>
        <v/>
      </c>
      <c r="J29" s="15"/>
      <c r="K29" s="15"/>
      <c r="L29" s="15"/>
    </row>
    <row r="30" customFormat="false" ht="15" hidden="false" customHeight="false" outlineLevel="0" collapsed="false">
      <c r="A30" s="15" t="str">
        <f aca="false">IFERROR(IF(INDEX('Airtable Input'!$A:$Z, 30, MATCH("Date", 'Airtable Input'!$1:$1, 0))="","",SUBSTITUTE(TEXT(INDEX('Airtable Input'!$A:$Z, 30, MATCH("Date", 'Airtable Input'!$1:$1, 0)),"YYYY-MM-DD"),"-","/")&amp;" "&amp;INDEX('Airtable Input'!$A:$Z, 30, MATCH("Time_NZST", 'Airtable Input'!$1:$1, 0))),"")</f>
        <v/>
      </c>
      <c r="B30" s="15" t="str">
        <f aca="false">IFERROR(IF(INDEX('Airtable Input'!$A:$Z, 30, MATCH("Caption_EN", 'Airtable Input'!$1:$1, 0))="","",INDEX('Airtable Input'!$A:$Z, 30, MATCH("Caption_EN", 'Airtable Input'!$1:$1, 0))&amp;CHAR(10)&amp;CHAR(10)&amp;INDEX('Airtable Input'!$A:$Z, 30, MATCH("Hashtags_IG", 'Airtable Input'!$1:$1, 0))),"")</f>
        <v/>
      </c>
      <c r="C30" s="15"/>
      <c r="D30" s="15" t="n">
        <f aca="false">IFERROR(INDEX('Airtable Input'!$A:$Z, 30, MATCH("Image_URL", 'Airtable Input'!$1:$1, 0)),"")</f>
        <v>0</v>
      </c>
      <c r="E30" s="15"/>
      <c r="F30" s="15"/>
      <c r="G30" s="15" t="n">
        <f aca="false">IFERROR(INDEX('Airtable Input'!$A:$Z, 30, MATCH("Headline_EN", 'Airtable Input'!$1:$1, 0)),"")</f>
        <v>0</v>
      </c>
      <c r="H30" s="15" t="str">
        <f aca="false">IFERROR(IF(INDEX('Airtable Input'!$A:$Z, 30, MATCH("URL_Organic_UTM", 'Airtable Input'!$1:$1, 0))="","","🔗 Full details: "&amp;INDEX('Airtable Input'!$A:$Z, 30, MATCH("URL_Organic_UTM", 'Airtable Input'!$1:$1, 0))),"")</f>
        <v/>
      </c>
      <c r="I30" s="15" t="str">
        <f aca="false">IFERROR(IF(INDEX('Airtable Input'!$A:$Z, 30, MATCH("Format", 'Airtable Input'!$1:$1, 0))="Reel","Reel",IF(INDEX('Airtable Input'!$A:$Z, 30, MATCH("Format", 'Airtable Input'!$1:$1, 0))="Story","Story","")),"")</f>
        <v/>
      </c>
      <c r="J30" s="15"/>
      <c r="K30" s="15"/>
      <c r="L30" s="15"/>
    </row>
    <row r="31" customFormat="false" ht="15" hidden="false" customHeight="false" outlineLevel="0" collapsed="false">
      <c r="A31" s="15" t="str">
        <f aca="false">IFERROR(IF(INDEX('Airtable Input'!$A:$Z, 31, MATCH("Date", 'Airtable Input'!$1:$1, 0))="","",SUBSTITUTE(TEXT(INDEX('Airtable Input'!$A:$Z, 31, MATCH("Date", 'Airtable Input'!$1:$1, 0)),"YYYY-MM-DD"),"-","/")&amp;" "&amp;INDEX('Airtable Input'!$A:$Z, 31, MATCH("Time_NZST", 'Airtable Input'!$1:$1, 0))),"")</f>
        <v/>
      </c>
      <c r="B31" s="15" t="str">
        <f aca="false">IFERROR(IF(INDEX('Airtable Input'!$A:$Z, 31, MATCH("Caption_EN", 'Airtable Input'!$1:$1, 0))="","",INDEX('Airtable Input'!$A:$Z, 31, MATCH("Caption_EN", 'Airtable Input'!$1:$1, 0))&amp;CHAR(10)&amp;CHAR(10)&amp;INDEX('Airtable Input'!$A:$Z, 31, MATCH("Hashtags_IG", 'Airtable Input'!$1:$1, 0))),"")</f>
        <v/>
      </c>
      <c r="C31" s="15"/>
      <c r="D31" s="15" t="n">
        <f aca="false">IFERROR(INDEX('Airtable Input'!$A:$Z, 31, MATCH("Image_URL", 'Airtable Input'!$1:$1, 0)),"")</f>
        <v>0</v>
      </c>
      <c r="E31" s="15"/>
      <c r="F31" s="15"/>
      <c r="G31" s="15" t="n">
        <f aca="false">IFERROR(INDEX('Airtable Input'!$A:$Z, 31, MATCH("Headline_EN", 'Airtable Input'!$1:$1, 0)),"")</f>
        <v>0</v>
      </c>
      <c r="H31" s="15" t="str">
        <f aca="false">IFERROR(IF(INDEX('Airtable Input'!$A:$Z, 31, MATCH("URL_Organic_UTM", 'Airtable Input'!$1:$1, 0))="","","🔗 Full details: "&amp;INDEX('Airtable Input'!$A:$Z, 31, MATCH("URL_Organic_UTM", 'Airtable Input'!$1:$1, 0))),"")</f>
        <v/>
      </c>
      <c r="I31" s="15" t="str">
        <f aca="false">IFERROR(IF(INDEX('Airtable Input'!$A:$Z, 31, MATCH("Format", 'Airtable Input'!$1:$1, 0))="Reel","Reel",IF(INDEX('Airtable Input'!$A:$Z, 31, MATCH("Format", 'Airtable Input'!$1:$1, 0))="Story","Story","")),"")</f>
        <v/>
      </c>
      <c r="J31" s="15"/>
      <c r="K31" s="15"/>
      <c r="L31" s="15"/>
    </row>
    <row r="32" customFormat="false" ht="15" hidden="false" customHeight="false" outlineLevel="0" collapsed="false">
      <c r="A32" s="15" t="str">
        <f aca="false">IFERROR(IF(INDEX('Airtable Input'!$A:$Z, 32, MATCH("Date", 'Airtable Input'!$1:$1, 0))="","",SUBSTITUTE(TEXT(INDEX('Airtable Input'!$A:$Z, 32, MATCH("Date", 'Airtable Input'!$1:$1, 0)),"YYYY-MM-DD"),"-","/")&amp;" "&amp;INDEX('Airtable Input'!$A:$Z, 32, MATCH("Time_NZST", 'Airtable Input'!$1:$1, 0))),"")</f>
        <v/>
      </c>
      <c r="B32" s="15" t="str">
        <f aca="false">IFERROR(IF(INDEX('Airtable Input'!$A:$Z, 32, MATCH("Caption_EN", 'Airtable Input'!$1:$1, 0))="","",INDEX('Airtable Input'!$A:$Z, 32, MATCH("Caption_EN", 'Airtable Input'!$1:$1, 0))&amp;CHAR(10)&amp;CHAR(10)&amp;INDEX('Airtable Input'!$A:$Z, 32, MATCH("Hashtags_IG", 'Airtable Input'!$1:$1, 0))),"")</f>
        <v/>
      </c>
      <c r="C32" s="15"/>
      <c r="D32" s="15" t="n">
        <f aca="false">IFERROR(INDEX('Airtable Input'!$A:$Z, 32, MATCH("Image_URL", 'Airtable Input'!$1:$1, 0)),"")</f>
        <v>0</v>
      </c>
      <c r="E32" s="15"/>
      <c r="F32" s="15"/>
      <c r="G32" s="15" t="n">
        <f aca="false">IFERROR(INDEX('Airtable Input'!$A:$Z, 32, MATCH("Headline_EN", 'Airtable Input'!$1:$1, 0)),"")</f>
        <v>0</v>
      </c>
      <c r="H32" s="15" t="str">
        <f aca="false">IFERROR(IF(INDEX('Airtable Input'!$A:$Z, 32, MATCH("URL_Organic_UTM", 'Airtable Input'!$1:$1, 0))="","","🔗 Full details: "&amp;INDEX('Airtable Input'!$A:$Z, 32, MATCH("URL_Organic_UTM", 'Airtable Input'!$1:$1, 0))),"")</f>
        <v/>
      </c>
      <c r="I32" s="15" t="str">
        <f aca="false">IFERROR(IF(INDEX('Airtable Input'!$A:$Z, 32, MATCH("Format", 'Airtable Input'!$1:$1, 0))="Reel","Reel",IF(INDEX('Airtable Input'!$A:$Z, 32, MATCH("Format", 'Airtable Input'!$1:$1, 0))="Story","Story","")),"")</f>
        <v/>
      </c>
      <c r="J32" s="15"/>
      <c r="K32" s="15"/>
      <c r="L32" s="15"/>
    </row>
    <row r="33" customFormat="false" ht="15" hidden="false" customHeight="false" outlineLevel="0" collapsed="false">
      <c r="A33" s="15" t="str">
        <f aca="false">IFERROR(IF(INDEX('Airtable Input'!$A:$Z, 33, MATCH("Date", 'Airtable Input'!$1:$1, 0))="","",SUBSTITUTE(TEXT(INDEX('Airtable Input'!$A:$Z, 33, MATCH("Date", 'Airtable Input'!$1:$1, 0)),"YYYY-MM-DD"),"-","/")&amp;" "&amp;INDEX('Airtable Input'!$A:$Z, 33, MATCH("Time_NZST", 'Airtable Input'!$1:$1, 0))),"")</f>
        <v/>
      </c>
      <c r="B33" s="15" t="str">
        <f aca="false">IFERROR(IF(INDEX('Airtable Input'!$A:$Z, 33, MATCH("Caption_EN", 'Airtable Input'!$1:$1, 0))="","",INDEX('Airtable Input'!$A:$Z, 33, MATCH("Caption_EN", 'Airtable Input'!$1:$1, 0))&amp;CHAR(10)&amp;CHAR(10)&amp;INDEX('Airtable Input'!$A:$Z, 33, MATCH("Hashtags_IG", 'Airtable Input'!$1:$1, 0))),"")</f>
        <v/>
      </c>
      <c r="C33" s="15"/>
      <c r="D33" s="15" t="n">
        <f aca="false">IFERROR(INDEX('Airtable Input'!$A:$Z, 33, MATCH("Image_URL", 'Airtable Input'!$1:$1, 0)),"")</f>
        <v>0</v>
      </c>
      <c r="E33" s="15"/>
      <c r="F33" s="15"/>
      <c r="G33" s="15" t="n">
        <f aca="false">IFERROR(INDEX('Airtable Input'!$A:$Z, 33, MATCH("Headline_EN", 'Airtable Input'!$1:$1, 0)),"")</f>
        <v>0</v>
      </c>
      <c r="H33" s="15" t="str">
        <f aca="false">IFERROR(IF(INDEX('Airtable Input'!$A:$Z, 33, MATCH("URL_Organic_UTM", 'Airtable Input'!$1:$1, 0))="","","🔗 Full details: "&amp;INDEX('Airtable Input'!$A:$Z, 33, MATCH("URL_Organic_UTM", 'Airtable Input'!$1:$1, 0))),"")</f>
        <v/>
      </c>
      <c r="I33" s="15" t="str">
        <f aca="false">IFERROR(IF(INDEX('Airtable Input'!$A:$Z, 33, MATCH("Format", 'Airtable Input'!$1:$1, 0))="Reel","Reel",IF(INDEX('Airtable Input'!$A:$Z, 33, MATCH("Format", 'Airtable Input'!$1:$1, 0))="Story","Story","")),"")</f>
        <v/>
      </c>
      <c r="J33" s="15"/>
      <c r="K33" s="15"/>
      <c r="L33" s="15"/>
    </row>
    <row r="34" customFormat="false" ht="15" hidden="false" customHeight="false" outlineLevel="0" collapsed="false">
      <c r="A34" s="15" t="str">
        <f aca="false">IFERROR(IF(INDEX('Airtable Input'!$A:$Z, 34, MATCH("Date", 'Airtable Input'!$1:$1, 0))="","",SUBSTITUTE(TEXT(INDEX('Airtable Input'!$A:$Z, 34, MATCH("Date", 'Airtable Input'!$1:$1, 0)),"YYYY-MM-DD"),"-","/")&amp;" "&amp;INDEX('Airtable Input'!$A:$Z, 34, MATCH("Time_NZST", 'Airtable Input'!$1:$1, 0))),"")</f>
        <v/>
      </c>
      <c r="B34" s="15" t="str">
        <f aca="false">IFERROR(IF(INDEX('Airtable Input'!$A:$Z, 34, MATCH("Caption_EN", 'Airtable Input'!$1:$1, 0))="","",INDEX('Airtable Input'!$A:$Z, 34, MATCH("Caption_EN", 'Airtable Input'!$1:$1, 0))&amp;CHAR(10)&amp;CHAR(10)&amp;INDEX('Airtable Input'!$A:$Z, 34, MATCH("Hashtags_IG", 'Airtable Input'!$1:$1, 0))),"")</f>
        <v/>
      </c>
      <c r="C34" s="15"/>
      <c r="D34" s="15" t="n">
        <f aca="false">IFERROR(INDEX('Airtable Input'!$A:$Z, 34, MATCH("Image_URL", 'Airtable Input'!$1:$1, 0)),"")</f>
        <v>0</v>
      </c>
      <c r="E34" s="15"/>
      <c r="F34" s="15"/>
      <c r="G34" s="15" t="n">
        <f aca="false">IFERROR(INDEX('Airtable Input'!$A:$Z, 34, MATCH("Headline_EN", 'Airtable Input'!$1:$1, 0)),"")</f>
        <v>0</v>
      </c>
      <c r="H34" s="15" t="str">
        <f aca="false">IFERROR(IF(INDEX('Airtable Input'!$A:$Z, 34, MATCH("URL_Organic_UTM", 'Airtable Input'!$1:$1, 0))="","","🔗 Full details: "&amp;INDEX('Airtable Input'!$A:$Z, 34, MATCH("URL_Organic_UTM", 'Airtable Input'!$1:$1, 0))),"")</f>
        <v/>
      </c>
      <c r="I34" s="15" t="str">
        <f aca="false">IFERROR(IF(INDEX('Airtable Input'!$A:$Z, 34, MATCH("Format", 'Airtable Input'!$1:$1, 0))="Reel","Reel",IF(INDEX('Airtable Input'!$A:$Z, 34, MATCH("Format", 'Airtable Input'!$1:$1, 0))="Story","Story","")),"")</f>
        <v/>
      </c>
      <c r="J34" s="15"/>
      <c r="K34" s="15"/>
      <c r="L34" s="15"/>
    </row>
    <row r="35" customFormat="false" ht="15" hidden="false" customHeight="false" outlineLevel="0" collapsed="false">
      <c r="A35" s="15" t="str">
        <f aca="false">IFERROR(IF(INDEX('Airtable Input'!$A:$Z, 35, MATCH("Date", 'Airtable Input'!$1:$1, 0))="","",SUBSTITUTE(TEXT(INDEX('Airtable Input'!$A:$Z, 35, MATCH("Date", 'Airtable Input'!$1:$1, 0)),"YYYY-MM-DD"),"-","/")&amp;" "&amp;INDEX('Airtable Input'!$A:$Z, 35, MATCH("Time_NZST", 'Airtable Input'!$1:$1, 0))),"")</f>
        <v/>
      </c>
      <c r="B35" s="15" t="str">
        <f aca="false">IFERROR(IF(INDEX('Airtable Input'!$A:$Z, 35, MATCH("Caption_EN", 'Airtable Input'!$1:$1, 0))="","",INDEX('Airtable Input'!$A:$Z, 35, MATCH("Caption_EN", 'Airtable Input'!$1:$1, 0))&amp;CHAR(10)&amp;CHAR(10)&amp;INDEX('Airtable Input'!$A:$Z, 35, MATCH("Hashtags_IG", 'Airtable Input'!$1:$1, 0))),"")</f>
        <v/>
      </c>
      <c r="C35" s="15"/>
      <c r="D35" s="15" t="n">
        <f aca="false">IFERROR(INDEX('Airtable Input'!$A:$Z, 35, MATCH("Image_URL", 'Airtable Input'!$1:$1, 0)),"")</f>
        <v>0</v>
      </c>
      <c r="E35" s="15"/>
      <c r="F35" s="15"/>
      <c r="G35" s="15" t="n">
        <f aca="false">IFERROR(INDEX('Airtable Input'!$A:$Z, 35, MATCH("Headline_EN", 'Airtable Input'!$1:$1, 0)),"")</f>
        <v>0</v>
      </c>
      <c r="H35" s="15" t="str">
        <f aca="false">IFERROR(IF(INDEX('Airtable Input'!$A:$Z, 35, MATCH("URL_Organic_UTM", 'Airtable Input'!$1:$1, 0))="","","🔗 Full details: "&amp;INDEX('Airtable Input'!$A:$Z, 35, MATCH("URL_Organic_UTM", 'Airtable Input'!$1:$1, 0))),"")</f>
        <v/>
      </c>
      <c r="I35" s="15" t="str">
        <f aca="false">IFERROR(IF(INDEX('Airtable Input'!$A:$Z, 35, MATCH("Format", 'Airtable Input'!$1:$1, 0))="Reel","Reel",IF(INDEX('Airtable Input'!$A:$Z, 35, MATCH("Format", 'Airtable Input'!$1:$1, 0))="Story","Story","")),"")</f>
        <v/>
      </c>
      <c r="J35" s="15"/>
      <c r="K35" s="15"/>
      <c r="L35" s="15"/>
    </row>
    <row r="36" customFormat="false" ht="15" hidden="false" customHeight="false" outlineLevel="0" collapsed="false">
      <c r="A36" s="15" t="str">
        <f aca="false">IFERROR(IF(INDEX('Airtable Input'!$A:$Z, 36, MATCH("Date", 'Airtable Input'!$1:$1, 0))="","",SUBSTITUTE(TEXT(INDEX('Airtable Input'!$A:$Z, 36, MATCH("Date", 'Airtable Input'!$1:$1, 0)),"YYYY-MM-DD"),"-","/")&amp;" "&amp;INDEX('Airtable Input'!$A:$Z, 36, MATCH("Time_NZST", 'Airtable Input'!$1:$1, 0))),"")</f>
        <v/>
      </c>
      <c r="B36" s="15" t="str">
        <f aca="false">IFERROR(IF(INDEX('Airtable Input'!$A:$Z, 36, MATCH("Caption_EN", 'Airtable Input'!$1:$1, 0))="","",INDEX('Airtable Input'!$A:$Z, 36, MATCH("Caption_EN", 'Airtable Input'!$1:$1, 0))&amp;CHAR(10)&amp;CHAR(10)&amp;INDEX('Airtable Input'!$A:$Z, 36, MATCH("Hashtags_IG", 'Airtable Input'!$1:$1, 0))),"")</f>
        <v/>
      </c>
      <c r="C36" s="15"/>
      <c r="D36" s="15" t="n">
        <f aca="false">IFERROR(INDEX('Airtable Input'!$A:$Z, 36, MATCH("Image_URL", 'Airtable Input'!$1:$1, 0)),"")</f>
        <v>0</v>
      </c>
      <c r="E36" s="15"/>
      <c r="F36" s="15"/>
      <c r="G36" s="15" t="n">
        <f aca="false">IFERROR(INDEX('Airtable Input'!$A:$Z, 36, MATCH("Headline_EN", 'Airtable Input'!$1:$1, 0)),"")</f>
        <v>0</v>
      </c>
      <c r="H36" s="15" t="str">
        <f aca="false">IFERROR(IF(INDEX('Airtable Input'!$A:$Z, 36, MATCH("URL_Organic_UTM", 'Airtable Input'!$1:$1, 0))="","","🔗 Full details: "&amp;INDEX('Airtable Input'!$A:$Z, 36, MATCH("URL_Organic_UTM", 'Airtable Input'!$1:$1, 0))),"")</f>
        <v/>
      </c>
      <c r="I36" s="15" t="str">
        <f aca="false">IFERROR(IF(INDEX('Airtable Input'!$A:$Z, 36, MATCH("Format", 'Airtable Input'!$1:$1, 0))="Reel","Reel",IF(INDEX('Airtable Input'!$A:$Z, 36, MATCH("Format", 'Airtable Input'!$1:$1, 0))="Story","Story","")),"")</f>
        <v/>
      </c>
      <c r="J36" s="15"/>
      <c r="K36" s="15"/>
      <c r="L36" s="15"/>
    </row>
    <row r="37" customFormat="false" ht="15" hidden="false" customHeight="false" outlineLevel="0" collapsed="false">
      <c r="A37" s="15" t="str">
        <f aca="false">IFERROR(IF(INDEX('Airtable Input'!$A:$Z, 37, MATCH("Date", 'Airtable Input'!$1:$1, 0))="","",SUBSTITUTE(TEXT(INDEX('Airtable Input'!$A:$Z, 37, MATCH("Date", 'Airtable Input'!$1:$1, 0)),"YYYY-MM-DD"),"-","/")&amp;" "&amp;INDEX('Airtable Input'!$A:$Z, 37, MATCH("Time_NZST", 'Airtable Input'!$1:$1, 0))),"")</f>
        <v/>
      </c>
      <c r="B37" s="15" t="str">
        <f aca="false">IFERROR(IF(INDEX('Airtable Input'!$A:$Z, 37, MATCH("Caption_EN", 'Airtable Input'!$1:$1, 0))="","",INDEX('Airtable Input'!$A:$Z, 37, MATCH("Caption_EN", 'Airtable Input'!$1:$1, 0))&amp;CHAR(10)&amp;CHAR(10)&amp;INDEX('Airtable Input'!$A:$Z, 37, MATCH("Hashtags_IG", 'Airtable Input'!$1:$1, 0))),"")</f>
        <v/>
      </c>
      <c r="C37" s="15"/>
      <c r="D37" s="15" t="n">
        <f aca="false">IFERROR(INDEX('Airtable Input'!$A:$Z, 37, MATCH("Image_URL", 'Airtable Input'!$1:$1, 0)),"")</f>
        <v>0</v>
      </c>
      <c r="E37" s="15"/>
      <c r="F37" s="15"/>
      <c r="G37" s="15" t="n">
        <f aca="false">IFERROR(INDEX('Airtable Input'!$A:$Z, 37, MATCH("Headline_EN", 'Airtable Input'!$1:$1, 0)),"")</f>
        <v>0</v>
      </c>
      <c r="H37" s="15" t="str">
        <f aca="false">IFERROR(IF(INDEX('Airtable Input'!$A:$Z, 37, MATCH("URL_Organic_UTM", 'Airtable Input'!$1:$1, 0))="","","🔗 Full details: "&amp;INDEX('Airtable Input'!$A:$Z, 37, MATCH("URL_Organic_UTM", 'Airtable Input'!$1:$1, 0))),"")</f>
        <v/>
      </c>
      <c r="I37" s="15" t="str">
        <f aca="false">IFERROR(IF(INDEX('Airtable Input'!$A:$Z, 37, MATCH("Format", 'Airtable Input'!$1:$1, 0))="Reel","Reel",IF(INDEX('Airtable Input'!$A:$Z, 37, MATCH("Format", 'Airtable Input'!$1:$1, 0))="Story","Story","")),"")</f>
        <v/>
      </c>
      <c r="J37" s="15"/>
      <c r="K37" s="15"/>
      <c r="L37" s="15"/>
    </row>
    <row r="38" customFormat="false" ht="15" hidden="false" customHeight="false" outlineLevel="0" collapsed="false">
      <c r="A38" s="15" t="str">
        <f aca="false">IFERROR(IF(INDEX('Airtable Input'!$A:$Z, 38, MATCH("Date", 'Airtable Input'!$1:$1, 0))="","",SUBSTITUTE(TEXT(INDEX('Airtable Input'!$A:$Z, 38, MATCH("Date", 'Airtable Input'!$1:$1, 0)),"YYYY-MM-DD"),"-","/")&amp;" "&amp;INDEX('Airtable Input'!$A:$Z, 38, MATCH("Time_NZST", 'Airtable Input'!$1:$1, 0))),"")</f>
        <v/>
      </c>
      <c r="B38" s="15" t="str">
        <f aca="false">IFERROR(IF(INDEX('Airtable Input'!$A:$Z, 38, MATCH("Caption_EN", 'Airtable Input'!$1:$1, 0))="","",INDEX('Airtable Input'!$A:$Z, 38, MATCH("Caption_EN", 'Airtable Input'!$1:$1, 0))&amp;CHAR(10)&amp;CHAR(10)&amp;INDEX('Airtable Input'!$A:$Z, 38, MATCH("Hashtags_IG", 'Airtable Input'!$1:$1, 0))),"")</f>
        <v/>
      </c>
      <c r="C38" s="15"/>
      <c r="D38" s="15" t="n">
        <f aca="false">IFERROR(INDEX('Airtable Input'!$A:$Z, 38, MATCH("Image_URL", 'Airtable Input'!$1:$1, 0)),"")</f>
        <v>0</v>
      </c>
      <c r="E38" s="15"/>
      <c r="F38" s="15"/>
      <c r="G38" s="15" t="n">
        <f aca="false">IFERROR(INDEX('Airtable Input'!$A:$Z, 38, MATCH("Headline_EN", 'Airtable Input'!$1:$1, 0)),"")</f>
        <v>0</v>
      </c>
      <c r="H38" s="15" t="str">
        <f aca="false">IFERROR(IF(INDEX('Airtable Input'!$A:$Z, 38, MATCH("URL_Organic_UTM", 'Airtable Input'!$1:$1, 0))="","","🔗 Full details: "&amp;INDEX('Airtable Input'!$A:$Z, 38, MATCH("URL_Organic_UTM", 'Airtable Input'!$1:$1, 0))),"")</f>
        <v/>
      </c>
      <c r="I38" s="15" t="str">
        <f aca="false">IFERROR(IF(INDEX('Airtable Input'!$A:$Z, 38, MATCH("Format", 'Airtable Input'!$1:$1, 0))="Reel","Reel",IF(INDEX('Airtable Input'!$A:$Z, 38, MATCH("Format", 'Airtable Input'!$1:$1, 0))="Story","Story","")),"")</f>
        <v/>
      </c>
      <c r="J38" s="15"/>
      <c r="K38" s="15"/>
      <c r="L38" s="15"/>
    </row>
    <row r="39" customFormat="false" ht="15" hidden="false" customHeight="false" outlineLevel="0" collapsed="false">
      <c r="A39" s="15" t="str">
        <f aca="false">IFERROR(IF(INDEX('Airtable Input'!$A:$Z, 39, MATCH("Date", 'Airtable Input'!$1:$1, 0))="","",SUBSTITUTE(TEXT(INDEX('Airtable Input'!$A:$Z, 39, MATCH("Date", 'Airtable Input'!$1:$1, 0)),"YYYY-MM-DD"),"-","/")&amp;" "&amp;INDEX('Airtable Input'!$A:$Z, 39, MATCH("Time_NZST", 'Airtable Input'!$1:$1, 0))),"")</f>
        <v/>
      </c>
      <c r="B39" s="15" t="str">
        <f aca="false">IFERROR(IF(INDEX('Airtable Input'!$A:$Z, 39, MATCH("Caption_EN", 'Airtable Input'!$1:$1, 0))="","",INDEX('Airtable Input'!$A:$Z, 39, MATCH("Caption_EN", 'Airtable Input'!$1:$1, 0))&amp;CHAR(10)&amp;CHAR(10)&amp;INDEX('Airtable Input'!$A:$Z, 39, MATCH("Hashtags_IG", 'Airtable Input'!$1:$1, 0))),"")</f>
        <v/>
      </c>
      <c r="C39" s="15"/>
      <c r="D39" s="15" t="n">
        <f aca="false">IFERROR(INDEX('Airtable Input'!$A:$Z, 39, MATCH("Image_URL", 'Airtable Input'!$1:$1, 0)),"")</f>
        <v>0</v>
      </c>
      <c r="E39" s="15"/>
      <c r="F39" s="15"/>
      <c r="G39" s="15" t="n">
        <f aca="false">IFERROR(INDEX('Airtable Input'!$A:$Z, 39, MATCH("Headline_EN", 'Airtable Input'!$1:$1, 0)),"")</f>
        <v>0</v>
      </c>
      <c r="H39" s="15" t="str">
        <f aca="false">IFERROR(IF(INDEX('Airtable Input'!$A:$Z, 39, MATCH("URL_Organic_UTM", 'Airtable Input'!$1:$1, 0))="","","🔗 Full details: "&amp;INDEX('Airtable Input'!$A:$Z, 39, MATCH("URL_Organic_UTM", 'Airtable Input'!$1:$1, 0))),"")</f>
        <v/>
      </c>
      <c r="I39" s="15" t="str">
        <f aca="false">IFERROR(IF(INDEX('Airtable Input'!$A:$Z, 39, MATCH("Format", 'Airtable Input'!$1:$1, 0))="Reel","Reel",IF(INDEX('Airtable Input'!$A:$Z, 39, MATCH("Format", 'Airtable Input'!$1:$1, 0))="Story","Story","")),"")</f>
        <v/>
      </c>
      <c r="J39" s="15"/>
      <c r="K39" s="15"/>
      <c r="L39" s="15"/>
    </row>
    <row r="40" customFormat="false" ht="15" hidden="false" customHeight="false" outlineLevel="0" collapsed="false">
      <c r="A40" s="15" t="str">
        <f aca="false">IFERROR(IF(INDEX('Airtable Input'!$A:$Z, 40, MATCH("Date", 'Airtable Input'!$1:$1, 0))="","",SUBSTITUTE(TEXT(INDEX('Airtable Input'!$A:$Z, 40, MATCH("Date", 'Airtable Input'!$1:$1, 0)),"YYYY-MM-DD"),"-","/")&amp;" "&amp;INDEX('Airtable Input'!$A:$Z, 40, MATCH("Time_NZST", 'Airtable Input'!$1:$1, 0))),"")</f>
        <v/>
      </c>
      <c r="B40" s="15" t="str">
        <f aca="false">IFERROR(IF(INDEX('Airtable Input'!$A:$Z, 40, MATCH("Caption_EN", 'Airtable Input'!$1:$1, 0))="","",INDEX('Airtable Input'!$A:$Z, 40, MATCH("Caption_EN", 'Airtable Input'!$1:$1, 0))&amp;CHAR(10)&amp;CHAR(10)&amp;INDEX('Airtable Input'!$A:$Z, 40, MATCH("Hashtags_IG", 'Airtable Input'!$1:$1, 0))),"")</f>
        <v/>
      </c>
      <c r="C40" s="15"/>
      <c r="D40" s="15" t="n">
        <f aca="false">IFERROR(INDEX('Airtable Input'!$A:$Z, 40, MATCH("Image_URL", 'Airtable Input'!$1:$1, 0)),"")</f>
        <v>0</v>
      </c>
      <c r="E40" s="15"/>
      <c r="F40" s="15"/>
      <c r="G40" s="15" t="n">
        <f aca="false">IFERROR(INDEX('Airtable Input'!$A:$Z, 40, MATCH("Headline_EN", 'Airtable Input'!$1:$1, 0)),"")</f>
        <v>0</v>
      </c>
      <c r="H40" s="15" t="str">
        <f aca="false">IFERROR(IF(INDEX('Airtable Input'!$A:$Z, 40, MATCH("URL_Organic_UTM", 'Airtable Input'!$1:$1, 0))="","","🔗 Full details: "&amp;INDEX('Airtable Input'!$A:$Z, 40, MATCH("URL_Organic_UTM", 'Airtable Input'!$1:$1, 0))),"")</f>
        <v/>
      </c>
      <c r="I40" s="15" t="str">
        <f aca="false">IFERROR(IF(INDEX('Airtable Input'!$A:$Z, 40, MATCH("Format", 'Airtable Input'!$1:$1, 0))="Reel","Reel",IF(INDEX('Airtable Input'!$A:$Z, 40, MATCH("Format", 'Airtable Input'!$1:$1, 0))="Story","Story","")),"")</f>
        <v/>
      </c>
      <c r="J40" s="15"/>
      <c r="K40" s="15"/>
      <c r="L40" s="15"/>
    </row>
    <row r="41" customFormat="false" ht="15" hidden="false" customHeight="false" outlineLevel="0" collapsed="false">
      <c r="A41" s="15" t="str">
        <f aca="false">IFERROR(IF(INDEX('Airtable Input'!$A:$Z, 41, MATCH("Date", 'Airtable Input'!$1:$1, 0))="","",SUBSTITUTE(TEXT(INDEX('Airtable Input'!$A:$Z, 41, MATCH("Date", 'Airtable Input'!$1:$1, 0)),"YYYY-MM-DD"),"-","/")&amp;" "&amp;INDEX('Airtable Input'!$A:$Z, 41, MATCH("Time_NZST", 'Airtable Input'!$1:$1, 0))),"")</f>
        <v/>
      </c>
      <c r="B41" s="15" t="str">
        <f aca="false">IFERROR(IF(INDEX('Airtable Input'!$A:$Z, 41, MATCH("Caption_EN", 'Airtable Input'!$1:$1, 0))="","",INDEX('Airtable Input'!$A:$Z, 41, MATCH("Caption_EN", 'Airtable Input'!$1:$1, 0))&amp;CHAR(10)&amp;CHAR(10)&amp;INDEX('Airtable Input'!$A:$Z, 41, MATCH("Hashtags_IG", 'Airtable Input'!$1:$1, 0))),"")</f>
        <v/>
      </c>
      <c r="C41" s="15"/>
      <c r="D41" s="15" t="n">
        <f aca="false">IFERROR(INDEX('Airtable Input'!$A:$Z, 41, MATCH("Image_URL", 'Airtable Input'!$1:$1, 0)),"")</f>
        <v>0</v>
      </c>
      <c r="E41" s="15"/>
      <c r="F41" s="15"/>
      <c r="G41" s="15" t="n">
        <f aca="false">IFERROR(INDEX('Airtable Input'!$A:$Z, 41, MATCH("Headline_EN", 'Airtable Input'!$1:$1, 0)),"")</f>
        <v>0</v>
      </c>
      <c r="H41" s="15" t="str">
        <f aca="false">IFERROR(IF(INDEX('Airtable Input'!$A:$Z, 41, MATCH("URL_Organic_UTM", 'Airtable Input'!$1:$1, 0))="","","🔗 Full details: "&amp;INDEX('Airtable Input'!$A:$Z, 41, MATCH("URL_Organic_UTM", 'Airtable Input'!$1:$1, 0))),"")</f>
        <v/>
      </c>
      <c r="I41" s="15" t="str">
        <f aca="false">IFERROR(IF(INDEX('Airtable Input'!$A:$Z, 41, MATCH("Format", 'Airtable Input'!$1:$1, 0))="Reel","Reel",IF(INDEX('Airtable Input'!$A:$Z, 41, MATCH("Format", 'Airtable Input'!$1:$1, 0))="Story","Story","")),"")</f>
        <v/>
      </c>
      <c r="J41" s="15"/>
      <c r="K41" s="15"/>
      <c r="L41" s="15"/>
    </row>
    <row r="42" customFormat="false" ht="15" hidden="false" customHeight="false" outlineLevel="0" collapsed="false">
      <c r="A42" s="15" t="str">
        <f aca="false">IFERROR(IF(INDEX('Airtable Input'!$A:$Z, 42, MATCH("Date", 'Airtable Input'!$1:$1, 0))="","",SUBSTITUTE(TEXT(INDEX('Airtable Input'!$A:$Z, 42, MATCH("Date", 'Airtable Input'!$1:$1, 0)),"YYYY-MM-DD"),"-","/")&amp;" "&amp;INDEX('Airtable Input'!$A:$Z, 42, MATCH("Time_NZST", 'Airtable Input'!$1:$1, 0))),"")</f>
        <v/>
      </c>
      <c r="B42" s="15" t="str">
        <f aca="false">IFERROR(IF(INDEX('Airtable Input'!$A:$Z, 42, MATCH("Caption_EN", 'Airtable Input'!$1:$1, 0))="","",INDEX('Airtable Input'!$A:$Z, 42, MATCH("Caption_EN", 'Airtable Input'!$1:$1, 0))&amp;CHAR(10)&amp;CHAR(10)&amp;INDEX('Airtable Input'!$A:$Z, 42, MATCH("Hashtags_IG", 'Airtable Input'!$1:$1, 0))),"")</f>
        <v/>
      </c>
      <c r="C42" s="15"/>
      <c r="D42" s="15" t="n">
        <f aca="false">IFERROR(INDEX('Airtable Input'!$A:$Z, 42, MATCH("Image_URL", 'Airtable Input'!$1:$1, 0)),"")</f>
        <v>0</v>
      </c>
      <c r="E42" s="15"/>
      <c r="F42" s="15"/>
      <c r="G42" s="15" t="n">
        <f aca="false">IFERROR(INDEX('Airtable Input'!$A:$Z, 42, MATCH("Headline_EN", 'Airtable Input'!$1:$1, 0)),"")</f>
        <v>0</v>
      </c>
      <c r="H42" s="15" t="str">
        <f aca="false">IFERROR(IF(INDEX('Airtable Input'!$A:$Z, 42, MATCH("URL_Organic_UTM", 'Airtable Input'!$1:$1, 0))="","","🔗 Full details: "&amp;INDEX('Airtable Input'!$A:$Z, 42, MATCH("URL_Organic_UTM", 'Airtable Input'!$1:$1, 0))),"")</f>
        <v/>
      </c>
      <c r="I42" s="15" t="str">
        <f aca="false">IFERROR(IF(INDEX('Airtable Input'!$A:$Z, 42, MATCH("Format", 'Airtable Input'!$1:$1, 0))="Reel","Reel",IF(INDEX('Airtable Input'!$A:$Z, 42, MATCH("Format", 'Airtable Input'!$1:$1, 0))="Story","Story","")),"")</f>
        <v/>
      </c>
      <c r="J42" s="15"/>
      <c r="K42" s="15"/>
      <c r="L42" s="15"/>
    </row>
    <row r="43" customFormat="false" ht="15" hidden="false" customHeight="false" outlineLevel="0" collapsed="false">
      <c r="A43" s="15" t="str">
        <f aca="false">IFERROR(IF(INDEX('Airtable Input'!$A:$Z, 43, MATCH("Date", 'Airtable Input'!$1:$1, 0))="","",SUBSTITUTE(TEXT(INDEX('Airtable Input'!$A:$Z, 43, MATCH("Date", 'Airtable Input'!$1:$1, 0)),"YYYY-MM-DD"),"-","/")&amp;" "&amp;INDEX('Airtable Input'!$A:$Z, 43, MATCH("Time_NZST", 'Airtable Input'!$1:$1, 0))),"")</f>
        <v/>
      </c>
      <c r="B43" s="15" t="str">
        <f aca="false">IFERROR(IF(INDEX('Airtable Input'!$A:$Z, 43, MATCH("Caption_EN", 'Airtable Input'!$1:$1, 0))="","",INDEX('Airtable Input'!$A:$Z, 43, MATCH("Caption_EN", 'Airtable Input'!$1:$1, 0))&amp;CHAR(10)&amp;CHAR(10)&amp;INDEX('Airtable Input'!$A:$Z, 43, MATCH("Hashtags_IG", 'Airtable Input'!$1:$1, 0))),"")</f>
        <v/>
      </c>
      <c r="C43" s="15"/>
      <c r="D43" s="15" t="n">
        <f aca="false">IFERROR(INDEX('Airtable Input'!$A:$Z, 43, MATCH("Image_URL", 'Airtable Input'!$1:$1, 0)),"")</f>
        <v>0</v>
      </c>
      <c r="E43" s="15"/>
      <c r="F43" s="15"/>
      <c r="G43" s="15" t="n">
        <f aca="false">IFERROR(INDEX('Airtable Input'!$A:$Z, 43, MATCH("Headline_EN", 'Airtable Input'!$1:$1, 0)),"")</f>
        <v>0</v>
      </c>
      <c r="H43" s="15" t="str">
        <f aca="false">IFERROR(IF(INDEX('Airtable Input'!$A:$Z, 43, MATCH("URL_Organic_UTM", 'Airtable Input'!$1:$1, 0))="","","🔗 Full details: "&amp;INDEX('Airtable Input'!$A:$Z, 43, MATCH("URL_Organic_UTM", 'Airtable Input'!$1:$1, 0))),"")</f>
        <v/>
      </c>
      <c r="I43" s="15" t="str">
        <f aca="false">IFERROR(IF(INDEX('Airtable Input'!$A:$Z, 43, MATCH("Format", 'Airtable Input'!$1:$1, 0))="Reel","Reel",IF(INDEX('Airtable Input'!$A:$Z, 43, MATCH("Format", 'Airtable Input'!$1:$1, 0))="Story","Story","")),"")</f>
        <v/>
      </c>
      <c r="J43" s="15"/>
      <c r="K43" s="15"/>
      <c r="L43" s="15"/>
    </row>
    <row r="44" customFormat="false" ht="15" hidden="false" customHeight="false" outlineLevel="0" collapsed="false">
      <c r="A44" s="15" t="str">
        <f aca="false">IFERROR(IF(INDEX('Airtable Input'!$A:$Z, 44, MATCH("Date", 'Airtable Input'!$1:$1, 0))="","",SUBSTITUTE(TEXT(INDEX('Airtable Input'!$A:$Z, 44, MATCH("Date", 'Airtable Input'!$1:$1, 0)),"YYYY-MM-DD"),"-","/")&amp;" "&amp;INDEX('Airtable Input'!$A:$Z, 44, MATCH("Time_NZST", 'Airtable Input'!$1:$1, 0))),"")</f>
        <v/>
      </c>
      <c r="B44" s="15" t="str">
        <f aca="false">IFERROR(IF(INDEX('Airtable Input'!$A:$Z, 44, MATCH("Caption_EN", 'Airtable Input'!$1:$1, 0))="","",INDEX('Airtable Input'!$A:$Z, 44, MATCH("Caption_EN", 'Airtable Input'!$1:$1, 0))&amp;CHAR(10)&amp;CHAR(10)&amp;INDEX('Airtable Input'!$A:$Z, 44, MATCH("Hashtags_IG", 'Airtable Input'!$1:$1, 0))),"")</f>
        <v/>
      </c>
      <c r="C44" s="15"/>
      <c r="D44" s="15" t="n">
        <f aca="false">IFERROR(INDEX('Airtable Input'!$A:$Z, 44, MATCH("Image_URL", 'Airtable Input'!$1:$1, 0)),"")</f>
        <v>0</v>
      </c>
      <c r="E44" s="15"/>
      <c r="F44" s="15"/>
      <c r="G44" s="15" t="n">
        <f aca="false">IFERROR(INDEX('Airtable Input'!$A:$Z, 44, MATCH("Headline_EN", 'Airtable Input'!$1:$1, 0)),"")</f>
        <v>0</v>
      </c>
      <c r="H44" s="15" t="str">
        <f aca="false">IFERROR(IF(INDEX('Airtable Input'!$A:$Z, 44, MATCH("URL_Organic_UTM", 'Airtable Input'!$1:$1, 0))="","","🔗 Full details: "&amp;INDEX('Airtable Input'!$A:$Z, 44, MATCH("URL_Organic_UTM", 'Airtable Input'!$1:$1, 0))),"")</f>
        <v/>
      </c>
      <c r="I44" s="15" t="str">
        <f aca="false">IFERROR(IF(INDEX('Airtable Input'!$A:$Z, 44, MATCH("Format", 'Airtable Input'!$1:$1, 0))="Reel","Reel",IF(INDEX('Airtable Input'!$A:$Z, 44, MATCH("Format", 'Airtable Input'!$1:$1, 0))="Story","Story","")),"")</f>
        <v/>
      </c>
      <c r="J44" s="15"/>
      <c r="K44" s="15"/>
      <c r="L44" s="15"/>
    </row>
    <row r="45" customFormat="false" ht="15" hidden="false" customHeight="false" outlineLevel="0" collapsed="false">
      <c r="A45" s="15" t="str">
        <f aca="false">IFERROR(IF(INDEX('Airtable Input'!$A:$Z, 45, MATCH("Date", 'Airtable Input'!$1:$1, 0))="","",SUBSTITUTE(TEXT(INDEX('Airtable Input'!$A:$Z, 45, MATCH("Date", 'Airtable Input'!$1:$1, 0)),"YYYY-MM-DD"),"-","/")&amp;" "&amp;INDEX('Airtable Input'!$A:$Z, 45, MATCH("Time_NZST", 'Airtable Input'!$1:$1, 0))),"")</f>
        <v/>
      </c>
      <c r="B45" s="15" t="str">
        <f aca="false">IFERROR(IF(INDEX('Airtable Input'!$A:$Z, 45, MATCH("Caption_EN", 'Airtable Input'!$1:$1, 0))="","",INDEX('Airtable Input'!$A:$Z, 45, MATCH("Caption_EN", 'Airtable Input'!$1:$1, 0))&amp;CHAR(10)&amp;CHAR(10)&amp;INDEX('Airtable Input'!$A:$Z, 45, MATCH("Hashtags_IG", 'Airtable Input'!$1:$1, 0))),"")</f>
        <v/>
      </c>
      <c r="C45" s="15"/>
      <c r="D45" s="15" t="n">
        <f aca="false">IFERROR(INDEX('Airtable Input'!$A:$Z, 45, MATCH("Image_URL", 'Airtable Input'!$1:$1, 0)),"")</f>
        <v>0</v>
      </c>
      <c r="E45" s="15"/>
      <c r="F45" s="15"/>
      <c r="G45" s="15" t="n">
        <f aca="false">IFERROR(INDEX('Airtable Input'!$A:$Z, 45, MATCH("Headline_EN", 'Airtable Input'!$1:$1, 0)),"")</f>
        <v>0</v>
      </c>
      <c r="H45" s="15" t="str">
        <f aca="false">IFERROR(IF(INDEX('Airtable Input'!$A:$Z, 45, MATCH("URL_Organic_UTM", 'Airtable Input'!$1:$1, 0))="","","🔗 Full details: "&amp;INDEX('Airtable Input'!$A:$Z, 45, MATCH("URL_Organic_UTM", 'Airtable Input'!$1:$1, 0))),"")</f>
        <v/>
      </c>
      <c r="I45" s="15" t="str">
        <f aca="false">IFERROR(IF(INDEX('Airtable Input'!$A:$Z, 45, MATCH("Format", 'Airtable Input'!$1:$1, 0))="Reel","Reel",IF(INDEX('Airtable Input'!$A:$Z, 45, MATCH("Format", 'Airtable Input'!$1:$1, 0))="Story","Story","")),"")</f>
        <v/>
      </c>
      <c r="J45" s="15"/>
      <c r="K45" s="15"/>
      <c r="L45" s="15"/>
    </row>
    <row r="46" customFormat="false" ht="15" hidden="false" customHeight="false" outlineLevel="0" collapsed="false">
      <c r="A46" s="15" t="str">
        <f aca="false">IFERROR(IF(INDEX('Airtable Input'!$A:$Z, 46, MATCH("Date", 'Airtable Input'!$1:$1, 0))="","",SUBSTITUTE(TEXT(INDEX('Airtable Input'!$A:$Z, 46, MATCH("Date", 'Airtable Input'!$1:$1, 0)),"YYYY-MM-DD"),"-","/")&amp;" "&amp;INDEX('Airtable Input'!$A:$Z, 46, MATCH("Time_NZST", 'Airtable Input'!$1:$1, 0))),"")</f>
        <v/>
      </c>
      <c r="B46" s="15" t="str">
        <f aca="false">IFERROR(IF(INDEX('Airtable Input'!$A:$Z, 46, MATCH("Caption_EN", 'Airtable Input'!$1:$1, 0))="","",INDEX('Airtable Input'!$A:$Z, 46, MATCH("Caption_EN", 'Airtable Input'!$1:$1, 0))&amp;CHAR(10)&amp;CHAR(10)&amp;INDEX('Airtable Input'!$A:$Z, 46, MATCH("Hashtags_IG", 'Airtable Input'!$1:$1, 0))),"")</f>
        <v/>
      </c>
      <c r="C46" s="15"/>
      <c r="D46" s="15" t="n">
        <f aca="false">IFERROR(INDEX('Airtable Input'!$A:$Z, 46, MATCH("Image_URL", 'Airtable Input'!$1:$1, 0)),"")</f>
        <v>0</v>
      </c>
      <c r="E46" s="15"/>
      <c r="F46" s="15"/>
      <c r="G46" s="15" t="n">
        <f aca="false">IFERROR(INDEX('Airtable Input'!$A:$Z, 46, MATCH("Headline_EN", 'Airtable Input'!$1:$1, 0)),"")</f>
        <v>0</v>
      </c>
      <c r="H46" s="15" t="str">
        <f aca="false">IFERROR(IF(INDEX('Airtable Input'!$A:$Z, 46, MATCH("URL_Organic_UTM", 'Airtable Input'!$1:$1, 0))="","","🔗 Full details: "&amp;INDEX('Airtable Input'!$A:$Z, 46, MATCH("URL_Organic_UTM", 'Airtable Input'!$1:$1, 0))),"")</f>
        <v/>
      </c>
      <c r="I46" s="15" t="str">
        <f aca="false">IFERROR(IF(INDEX('Airtable Input'!$A:$Z, 46, MATCH("Format", 'Airtable Input'!$1:$1, 0))="Reel","Reel",IF(INDEX('Airtable Input'!$A:$Z, 46, MATCH("Format", 'Airtable Input'!$1:$1, 0))="Story","Story","")),"")</f>
        <v/>
      </c>
      <c r="J46" s="15"/>
      <c r="K46" s="15"/>
      <c r="L46" s="15"/>
    </row>
    <row r="47" customFormat="false" ht="15" hidden="false" customHeight="false" outlineLevel="0" collapsed="false">
      <c r="A47" s="15" t="str">
        <f aca="false">IFERROR(IF(INDEX('Airtable Input'!$A:$Z, 47, MATCH("Date", 'Airtable Input'!$1:$1, 0))="","",SUBSTITUTE(TEXT(INDEX('Airtable Input'!$A:$Z, 47, MATCH("Date", 'Airtable Input'!$1:$1, 0)),"YYYY-MM-DD"),"-","/")&amp;" "&amp;INDEX('Airtable Input'!$A:$Z, 47, MATCH("Time_NZST", 'Airtable Input'!$1:$1, 0))),"")</f>
        <v/>
      </c>
      <c r="B47" s="15" t="str">
        <f aca="false">IFERROR(IF(INDEX('Airtable Input'!$A:$Z, 47, MATCH("Caption_EN", 'Airtable Input'!$1:$1, 0))="","",INDEX('Airtable Input'!$A:$Z, 47, MATCH("Caption_EN", 'Airtable Input'!$1:$1, 0))&amp;CHAR(10)&amp;CHAR(10)&amp;INDEX('Airtable Input'!$A:$Z, 47, MATCH("Hashtags_IG", 'Airtable Input'!$1:$1, 0))),"")</f>
        <v/>
      </c>
      <c r="C47" s="15"/>
      <c r="D47" s="15" t="n">
        <f aca="false">IFERROR(INDEX('Airtable Input'!$A:$Z, 47, MATCH("Image_URL", 'Airtable Input'!$1:$1, 0)),"")</f>
        <v>0</v>
      </c>
      <c r="E47" s="15"/>
      <c r="F47" s="15"/>
      <c r="G47" s="15" t="n">
        <f aca="false">IFERROR(INDEX('Airtable Input'!$A:$Z, 47, MATCH("Headline_EN", 'Airtable Input'!$1:$1, 0)),"")</f>
        <v>0</v>
      </c>
      <c r="H47" s="15" t="str">
        <f aca="false">IFERROR(IF(INDEX('Airtable Input'!$A:$Z, 47, MATCH("URL_Organic_UTM", 'Airtable Input'!$1:$1, 0))="","","🔗 Full details: "&amp;INDEX('Airtable Input'!$A:$Z, 47, MATCH("URL_Organic_UTM", 'Airtable Input'!$1:$1, 0))),"")</f>
        <v/>
      </c>
      <c r="I47" s="15" t="str">
        <f aca="false">IFERROR(IF(INDEX('Airtable Input'!$A:$Z, 47, MATCH("Format", 'Airtable Input'!$1:$1, 0))="Reel","Reel",IF(INDEX('Airtable Input'!$A:$Z, 47, MATCH("Format", 'Airtable Input'!$1:$1, 0))="Story","Story","")),"")</f>
        <v/>
      </c>
      <c r="J47" s="15"/>
      <c r="K47" s="15"/>
      <c r="L47" s="15"/>
    </row>
    <row r="48" customFormat="false" ht="15" hidden="false" customHeight="false" outlineLevel="0" collapsed="false">
      <c r="A48" s="15" t="str">
        <f aca="false">IFERROR(IF(INDEX('Airtable Input'!$A:$Z, 48, MATCH("Date", 'Airtable Input'!$1:$1, 0))="","",SUBSTITUTE(TEXT(INDEX('Airtable Input'!$A:$Z, 48, MATCH("Date", 'Airtable Input'!$1:$1, 0)),"YYYY-MM-DD"),"-","/")&amp;" "&amp;INDEX('Airtable Input'!$A:$Z, 48, MATCH("Time_NZST", 'Airtable Input'!$1:$1, 0))),"")</f>
        <v/>
      </c>
      <c r="B48" s="15" t="str">
        <f aca="false">IFERROR(IF(INDEX('Airtable Input'!$A:$Z, 48, MATCH("Caption_EN", 'Airtable Input'!$1:$1, 0))="","",INDEX('Airtable Input'!$A:$Z, 48, MATCH("Caption_EN", 'Airtable Input'!$1:$1, 0))&amp;CHAR(10)&amp;CHAR(10)&amp;INDEX('Airtable Input'!$A:$Z, 48, MATCH("Hashtags_IG", 'Airtable Input'!$1:$1, 0))),"")</f>
        <v/>
      </c>
      <c r="C48" s="15"/>
      <c r="D48" s="15" t="n">
        <f aca="false">IFERROR(INDEX('Airtable Input'!$A:$Z, 48, MATCH("Image_URL", 'Airtable Input'!$1:$1, 0)),"")</f>
        <v>0</v>
      </c>
      <c r="E48" s="15"/>
      <c r="F48" s="15"/>
      <c r="G48" s="15" t="n">
        <f aca="false">IFERROR(INDEX('Airtable Input'!$A:$Z, 48, MATCH("Headline_EN", 'Airtable Input'!$1:$1, 0)),"")</f>
        <v>0</v>
      </c>
      <c r="H48" s="15" t="str">
        <f aca="false">IFERROR(IF(INDEX('Airtable Input'!$A:$Z, 48, MATCH("URL_Organic_UTM", 'Airtable Input'!$1:$1, 0))="","","🔗 Full details: "&amp;INDEX('Airtable Input'!$A:$Z, 48, MATCH("URL_Organic_UTM", 'Airtable Input'!$1:$1, 0))),"")</f>
        <v/>
      </c>
      <c r="I48" s="15" t="str">
        <f aca="false">IFERROR(IF(INDEX('Airtable Input'!$A:$Z, 48, MATCH("Format", 'Airtable Input'!$1:$1, 0))="Reel","Reel",IF(INDEX('Airtable Input'!$A:$Z, 48, MATCH("Format", 'Airtable Input'!$1:$1, 0))="Story","Story","")),"")</f>
        <v/>
      </c>
      <c r="J48" s="15"/>
      <c r="K48" s="15"/>
      <c r="L48" s="15"/>
    </row>
    <row r="49" customFormat="false" ht="15" hidden="false" customHeight="false" outlineLevel="0" collapsed="false">
      <c r="A49" s="15" t="str">
        <f aca="false">IFERROR(IF(INDEX('Airtable Input'!$A:$Z, 49, MATCH("Date", 'Airtable Input'!$1:$1, 0))="","",SUBSTITUTE(TEXT(INDEX('Airtable Input'!$A:$Z, 49, MATCH("Date", 'Airtable Input'!$1:$1, 0)),"YYYY-MM-DD"),"-","/")&amp;" "&amp;INDEX('Airtable Input'!$A:$Z, 49, MATCH("Time_NZST", 'Airtable Input'!$1:$1, 0))),"")</f>
        <v/>
      </c>
      <c r="B49" s="15" t="str">
        <f aca="false">IFERROR(IF(INDEX('Airtable Input'!$A:$Z, 49, MATCH("Caption_EN", 'Airtable Input'!$1:$1, 0))="","",INDEX('Airtable Input'!$A:$Z, 49, MATCH("Caption_EN", 'Airtable Input'!$1:$1, 0))&amp;CHAR(10)&amp;CHAR(10)&amp;INDEX('Airtable Input'!$A:$Z, 49, MATCH("Hashtags_IG", 'Airtable Input'!$1:$1, 0))),"")</f>
        <v/>
      </c>
      <c r="C49" s="15"/>
      <c r="D49" s="15" t="n">
        <f aca="false">IFERROR(INDEX('Airtable Input'!$A:$Z, 49, MATCH("Image_URL", 'Airtable Input'!$1:$1, 0)),"")</f>
        <v>0</v>
      </c>
      <c r="E49" s="15"/>
      <c r="F49" s="15"/>
      <c r="G49" s="15" t="n">
        <f aca="false">IFERROR(INDEX('Airtable Input'!$A:$Z, 49, MATCH("Headline_EN", 'Airtable Input'!$1:$1, 0)),"")</f>
        <v>0</v>
      </c>
      <c r="H49" s="15" t="str">
        <f aca="false">IFERROR(IF(INDEX('Airtable Input'!$A:$Z, 49, MATCH("URL_Organic_UTM", 'Airtable Input'!$1:$1, 0))="","","🔗 Full details: "&amp;INDEX('Airtable Input'!$A:$Z, 49, MATCH("URL_Organic_UTM", 'Airtable Input'!$1:$1, 0))),"")</f>
        <v/>
      </c>
      <c r="I49" s="15" t="str">
        <f aca="false">IFERROR(IF(INDEX('Airtable Input'!$A:$Z, 49, MATCH("Format", 'Airtable Input'!$1:$1, 0))="Reel","Reel",IF(INDEX('Airtable Input'!$A:$Z, 49, MATCH("Format", 'Airtable Input'!$1:$1, 0))="Story","Story","")),"")</f>
        <v/>
      </c>
      <c r="J49" s="15"/>
      <c r="K49" s="15"/>
      <c r="L49" s="15"/>
    </row>
    <row r="50" customFormat="false" ht="57.45" hidden="false" customHeight="false" outlineLevel="0" collapsed="false">
      <c r="A50" s="15" t="str">
        <f aca="false">IFERROR(IF(INDEX('Airtable Input'!$A:$Z, 50, MATCH("Date", 'Airtable Input'!$1:$1, 0))="","",SUBSTITUTE(TEXT(INDEX('Airtable Input'!$A:$Z, 50, MATCH("Date", 'Airtable Input'!$1:$1, 0)),"YYYY-MM-DD"),"-","/")&amp;" "&amp;INDEX('Airtable Input'!$A:$Z, 50, MATCH("Time_NZST", 'Airtable Input'!$1:$1, 0))),"")</f>
        <v/>
      </c>
      <c r="B50" s="15" t="str">
        <f aca="false">IFERROR(IF(INDEX('Airtable Input'!$A:$Z, 50, MATCH("Caption_EN", 'Airtable Input'!$1:$1, 0))="","",INDEX('Airtable Input'!$A:$Z, 50, MATCH("Caption_EN", 'Airtable Input'!$1:$1, 0))&amp;CHAR(10)&amp;CHAR(10)&amp;INDEX('Airtable Input'!$A:$Z, 50, MATCH("Hashtags_IG", 'Airtable Input'!$1:$1, 0))),"")</f>
        <v/>
      </c>
      <c r="C50" s="15"/>
      <c r="D50" s="15" t="n">
        <f aca="false">IFERROR(INDEX('Airtable Input'!$A:$Z, 50, MATCH("Image_URL", 'Airtable Input'!$1:$1, 0)),"")</f>
        <v>0</v>
      </c>
      <c r="E50" s="15"/>
      <c r="F50" s="15"/>
      <c r="G50" s="15" t="str">
        <f aca="false">IFERROR(INDEX('Airtable Input'!$A:$Z, 50, MATCH("Headline_EN", 'Airtable Input'!$1:$1, 0)),"")</f>
        <v>↑ 把 Airtable 导出的 CSV 从 A2 开始粘贴（可以覆盖上面的 headers，Excel 会自动匹配）</v>
      </c>
      <c r="H50" s="15" t="str">
        <f aca="false">IFERROR(IF(INDEX('Airtable Input'!$A:$Z, 50, MATCH("URL_Organic_UTM", 'Airtable Input'!$1:$1, 0))="","","🔗 Full details: "&amp;INDEX('Airtable Input'!$A:$Z, 50, MATCH("URL_Organic_UTM", 'Airtable Input'!$1:$1, 0))),"")</f>
        <v/>
      </c>
      <c r="I50" s="15" t="str">
        <f aca="false">IFERROR(IF(INDEX('Airtable Input'!$A:$Z, 50, MATCH("Format", 'Airtable Input'!$1:$1, 0))="Reel","Reel",IF(INDEX('Airtable Input'!$A:$Z, 50, MATCH("Format", 'Airtable Input'!$1:$1, 0))="Story","Story","")),"")</f>
        <v/>
      </c>
      <c r="J50" s="15"/>
      <c r="K50" s="15"/>
      <c r="L50" s="15"/>
    </row>
    <row r="51" customFormat="false" ht="15" hidden="false" customHeight="false" outlineLevel="0" collapsed="false">
      <c r="A51" s="15" t="str">
        <f aca="false">IFERROR(IF(INDEX('Airtable Input'!$A:$Z, 51, MATCH("Date", 'Airtable Input'!$1:$1, 0))="","",SUBSTITUTE(TEXT(INDEX('Airtable Input'!$A:$Z, 51, MATCH("Date", 'Airtable Input'!$1:$1, 0)),"YYYY-MM-DD"),"-","/")&amp;" "&amp;INDEX('Airtable Input'!$A:$Z, 51, MATCH("Time_NZST", 'Airtable Input'!$1:$1, 0))),"")</f>
        <v/>
      </c>
      <c r="B51" s="15" t="str">
        <f aca="false">IFERROR(IF(INDEX('Airtable Input'!$A:$Z, 51, MATCH("Caption_EN", 'Airtable Input'!$1:$1, 0))="","",INDEX('Airtable Input'!$A:$Z, 51, MATCH("Caption_EN", 'Airtable Input'!$1:$1, 0))&amp;CHAR(10)&amp;CHAR(10)&amp;INDEX('Airtable Input'!$A:$Z, 51, MATCH("Hashtags_IG", 'Airtable Input'!$1:$1, 0))),"")</f>
        <v/>
      </c>
      <c r="C51" s="15"/>
      <c r="D51" s="15" t="n">
        <f aca="false">IFERROR(INDEX('Airtable Input'!$A:$Z, 51, MATCH("Image_URL", 'Airtable Input'!$1:$1, 0)),"")</f>
        <v>0</v>
      </c>
      <c r="E51" s="15"/>
      <c r="F51" s="15"/>
      <c r="G51" s="15" t="n">
        <f aca="false">IFERROR(INDEX('Airtable Input'!$A:$Z, 51, MATCH("Headline_EN", 'Airtable Input'!$1:$1, 0)),"")</f>
        <v>0</v>
      </c>
      <c r="H51" s="15" t="str">
        <f aca="false">IFERROR(IF(INDEX('Airtable Input'!$A:$Z, 51, MATCH("URL_Organic_UTM", 'Airtable Input'!$1:$1, 0))="","","🔗 Full details: "&amp;INDEX('Airtable Input'!$A:$Z, 51, MATCH("URL_Organic_UTM", 'Airtable Input'!$1:$1, 0))),"")</f>
        <v/>
      </c>
      <c r="I51" s="15" t="str">
        <f aca="false">IFERROR(IF(INDEX('Airtable Input'!$A:$Z, 51, MATCH("Format", 'Airtable Input'!$1:$1, 0))="Reel","Reel",IF(INDEX('Airtable Input'!$A:$Z, 51, MATCH("Format", 'Airtable Input'!$1:$1, 0))="Story","Story","")),"")</f>
        <v/>
      </c>
      <c r="J51" s="15"/>
      <c r="K51" s="15"/>
      <c r="L51" s="15"/>
    </row>
    <row r="52" customFormat="false" ht="15" hidden="false" customHeight="false" outlineLevel="0" collapsed="false">
      <c r="A52" s="15" t="str">
        <f aca="false">IFERROR(IF(INDEX('Airtable Input'!$A:$Z, 52, MATCH("Date", 'Airtable Input'!$1:$1, 0))="","",SUBSTITUTE(TEXT(INDEX('Airtable Input'!$A:$Z, 52, MATCH("Date", 'Airtable Input'!$1:$1, 0)),"YYYY-MM-DD"),"-","/")&amp;" "&amp;INDEX('Airtable Input'!$A:$Z, 52, MATCH("Time_NZST", 'Airtable Input'!$1:$1, 0))),"")</f>
        <v/>
      </c>
      <c r="B52" s="15" t="str">
        <f aca="false">IFERROR(IF(INDEX('Airtable Input'!$A:$Z, 52, MATCH("Caption_EN", 'Airtable Input'!$1:$1, 0))="","",INDEX('Airtable Input'!$A:$Z, 52, MATCH("Caption_EN", 'Airtable Input'!$1:$1, 0))&amp;CHAR(10)&amp;CHAR(10)&amp;INDEX('Airtable Input'!$A:$Z, 52, MATCH("Hashtags_IG", 'Airtable Input'!$1:$1, 0))),"")</f>
        <v/>
      </c>
      <c r="C52" s="15"/>
      <c r="D52" s="15" t="n">
        <f aca="false">IFERROR(INDEX('Airtable Input'!$A:$Z, 52, MATCH("Image_URL", 'Airtable Input'!$1:$1, 0)),"")</f>
        <v>0</v>
      </c>
      <c r="E52" s="15"/>
      <c r="F52" s="15"/>
      <c r="G52" s="15" t="n">
        <f aca="false">IFERROR(INDEX('Airtable Input'!$A:$Z, 52, MATCH("Headline_EN", 'Airtable Input'!$1:$1, 0)),"")</f>
        <v>0</v>
      </c>
      <c r="H52" s="15" t="str">
        <f aca="false">IFERROR(IF(INDEX('Airtable Input'!$A:$Z, 52, MATCH("URL_Organic_UTM", 'Airtable Input'!$1:$1, 0))="","","🔗 Full details: "&amp;INDEX('Airtable Input'!$A:$Z, 52, MATCH("URL_Organic_UTM", 'Airtable Input'!$1:$1, 0))),"")</f>
        <v/>
      </c>
      <c r="I52" s="15" t="str">
        <f aca="false">IFERROR(IF(INDEX('Airtable Input'!$A:$Z, 52, MATCH("Format", 'Airtable Input'!$1:$1, 0))="Reel","Reel",IF(INDEX('Airtable Input'!$A:$Z, 52, MATCH("Format", 'Airtable Input'!$1:$1, 0))="Story","Story","")),"")</f>
        <v/>
      </c>
      <c r="J52" s="15"/>
      <c r="K52" s="15"/>
      <c r="L52" s="15"/>
    </row>
    <row r="53" customFormat="false" ht="15" hidden="false" customHeight="false" outlineLevel="0" collapsed="false">
      <c r="A53" s="15" t="str">
        <f aca="false">IFERROR(IF(INDEX('Airtable Input'!$A:$Z, 53, MATCH("Date", 'Airtable Input'!$1:$1, 0))="","",SUBSTITUTE(TEXT(INDEX('Airtable Input'!$A:$Z, 53, MATCH("Date", 'Airtable Input'!$1:$1, 0)),"YYYY-MM-DD"),"-","/")&amp;" "&amp;INDEX('Airtable Input'!$A:$Z, 53, MATCH("Time_NZST", 'Airtable Input'!$1:$1, 0))),"")</f>
        <v/>
      </c>
      <c r="B53" s="15" t="str">
        <f aca="false">IFERROR(IF(INDEX('Airtable Input'!$A:$Z, 53, MATCH("Caption_EN", 'Airtable Input'!$1:$1, 0))="","",INDEX('Airtable Input'!$A:$Z, 53, MATCH("Caption_EN", 'Airtable Input'!$1:$1, 0))&amp;CHAR(10)&amp;CHAR(10)&amp;INDEX('Airtable Input'!$A:$Z, 53, MATCH("Hashtags_IG", 'Airtable Input'!$1:$1, 0))),"")</f>
        <v/>
      </c>
      <c r="C53" s="15"/>
      <c r="D53" s="15" t="n">
        <f aca="false">IFERROR(INDEX('Airtable Input'!$A:$Z, 53, MATCH("Image_URL", 'Airtable Input'!$1:$1, 0)),"")</f>
        <v>0</v>
      </c>
      <c r="E53" s="15"/>
      <c r="F53" s="15"/>
      <c r="G53" s="15" t="n">
        <f aca="false">IFERROR(INDEX('Airtable Input'!$A:$Z, 53, MATCH("Headline_EN", 'Airtable Input'!$1:$1, 0)),"")</f>
        <v>0</v>
      </c>
      <c r="H53" s="15" t="str">
        <f aca="false">IFERROR(IF(INDEX('Airtable Input'!$A:$Z, 53, MATCH("URL_Organic_UTM", 'Airtable Input'!$1:$1, 0))="","","🔗 Full details: "&amp;INDEX('Airtable Input'!$A:$Z, 53, MATCH("URL_Organic_UTM", 'Airtable Input'!$1:$1, 0))),"")</f>
        <v/>
      </c>
      <c r="I53" s="15" t="str">
        <f aca="false">IFERROR(IF(INDEX('Airtable Input'!$A:$Z, 53, MATCH("Format", 'Airtable Input'!$1:$1, 0))="Reel","Reel",IF(INDEX('Airtable Input'!$A:$Z, 53, MATCH("Format", 'Airtable Input'!$1:$1, 0))="Story","Story","")),"")</f>
        <v/>
      </c>
      <c r="J53" s="15"/>
      <c r="K53" s="15"/>
      <c r="L53" s="15"/>
    </row>
    <row r="54" customFormat="false" ht="15" hidden="false" customHeight="false" outlineLevel="0" collapsed="false">
      <c r="A54" s="15" t="str">
        <f aca="false">IFERROR(IF(INDEX('Airtable Input'!$A:$Z, 54, MATCH("Date", 'Airtable Input'!$1:$1, 0))="","",SUBSTITUTE(TEXT(INDEX('Airtable Input'!$A:$Z, 54, MATCH("Date", 'Airtable Input'!$1:$1, 0)),"YYYY-MM-DD"),"-","/")&amp;" "&amp;INDEX('Airtable Input'!$A:$Z, 54, MATCH("Time_NZST", 'Airtable Input'!$1:$1, 0))),"")</f>
        <v/>
      </c>
      <c r="B54" s="15" t="str">
        <f aca="false">IFERROR(IF(INDEX('Airtable Input'!$A:$Z, 54, MATCH("Caption_EN", 'Airtable Input'!$1:$1, 0))="","",INDEX('Airtable Input'!$A:$Z, 54, MATCH("Caption_EN", 'Airtable Input'!$1:$1, 0))&amp;CHAR(10)&amp;CHAR(10)&amp;INDEX('Airtable Input'!$A:$Z, 54, MATCH("Hashtags_IG", 'Airtable Input'!$1:$1, 0))),"")</f>
        <v/>
      </c>
      <c r="C54" s="15"/>
      <c r="D54" s="15" t="n">
        <f aca="false">IFERROR(INDEX('Airtable Input'!$A:$Z, 54, MATCH("Image_URL", 'Airtable Input'!$1:$1, 0)),"")</f>
        <v>0</v>
      </c>
      <c r="E54" s="15"/>
      <c r="F54" s="15"/>
      <c r="G54" s="15" t="n">
        <f aca="false">IFERROR(INDEX('Airtable Input'!$A:$Z, 54, MATCH("Headline_EN", 'Airtable Input'!$1:$1, 0)),"")</f>
        <v>0</v>
      </c>
      <c r="H54" s="15" t="str">
        <f aca="false">IFERROR(IF(INDEX('Airtable Input'!$A:$Z, 54, MATCH("URL_Organic_UTM", 'Airtable Input'!$1:$1, 0))="","","🔗 Full details: "&amp;INDEX('Airtable Input'!$A:$Z, 54, MATCH("URL_Organic_UTM", 'Airtable Input'!$1:$1, 0))),"")</f>
        <v/>
      </c>
      <c r="I54" s="15" t="str">
        <f aca="false">IFERROR(IF(INDEX('Airtable Input'!$A:$Z, 54, MATCH("Format", 'Airtable Input'!$1:$1, 0))="Reel","Reel",IF(INDEX('Airtable Input'!$A:$Z, 54, MATCH("Format", 'Airtable Input'!$1:$1, 0))="Story","Story","")),"")</f>
        <v/>
      </c>
      <c r="J54" s="15"/>
      <c r="K54" s="15"/>
      <c r="L54" s="15"/>
    </row>
    <row r="55" customFormat="false" ht="15" hidden="false" customHeight="false" outlineLevel="0" collapsed="false">
      <c r="A55" s="15" t="str">
        <f aca="false">IFERROR(IF(INDEX('Airtable Input'!$A:$Z, 55, MATCH("Date", 'Airtable Input'!$1:$1, 0))="","",SUBSTITUTE(TEXT(INDEX('Airtable Input'!$A:$Z, 55, MATCH("Date", 'Airtable Input'!$1:$1, 0)),"YYYY-MM-DD"),"-","/")&amp;" "&amp;INDEX('Airtable Input'!$A:$Z, 55, MATCH("Time_NZST", 'Airtable Input'!$1:$1, 0))),"")</f>
        <v/>
      </c>
      <c r="B55" s="15" t="str">
        <f aca="false">IFERROR(IF(INDEX('Airtable Input'!$A:$Z, 55, MATCH("Caption_EN", 'Airtable Input'!$1:$1, 0))="","",INDEX('Airtable Input'!$A:$Z, 55, MATCH("Caption_EN", 'Airtable Input'!$1:$1, 0))&amp;CHAR(10)&amp;CHAR(10)&amp;INDEX('Airtable Input'!$A:$Z, 55, MATCH("Hashtags_IG", 'Airtable Input'!$1:$1, 0))),"")</f>
        <v/>
      </c>
      <c r="C55" s="15"/>
      <c r="D55" s="15" t="n">
        <f aca="false">IFERROR(INDEX('Airtable Input'!$A:$Z, 55, MATCH("Image_URL", 'Airtable Input'!$1:$1, 0)),"")</f>
        <v>0</v>
      </c>
      <c r="E55" s="15"/>
      <c r="F55" s="15"/>
      <c r="G55" s="15" t="n">
        <f aca="false">IFERROR(INDEX('Airtable Input'!$A:$Z, 55, MATCH("Headline_EN", 'Airtable Input'!$1:$1, 0)),"")</f>
        <v>0</v>
      </c>
      <c r="H55" s="15" t="str">
        <f aca="false">IFERROR(IF(INDEX('Airtable Input'!$A:$Z, 55, MATCH("URL_Organic_UTM", 'Airtable Input'!$1:$1, 0))="","","🔗 Full details: "&amp;INDEX('Airtable Input'!$A:$Z, 55, MATCH("URL_Organic_UTM", 'Airtable Input'!$1:$1, 0))),"")</f>
        <v/>
      </c>
      <c r="I55" s="15" t="str">
        <f aca="false">IFERROR(IF(INDEX('Airtable Input'!$A:$Z, 55, MATCH("Format", 'Airtable Input'!$1:$1, 0))="Reel","Reel",IF(INDEX('Airtable Input'!$A:$Z, 55, MATCH("Format", 'Airtable Input'!$1:$1, 0))="Story","Story","")),"")</f>
        <v/>
      </c>
      <c r="J55" s="15"/>
      <c r="K55" s="15"/>
      <c r="L55" s="15"/>
    </row>
    <row r="56" customFormat="false" ht="15" hidden="false" customHeight="false" outlineLevel="0" collapsed="false">
      <c r="A56" s="15" t="str">
        <f aca="false">IFERROR(IF(INDEX('Airtable Input'!$A:$Z, 56, MATCH("Date", 'Airtable Input'!$1:$1, 0))="","",SUBSTITUTE(TEXT(INDEX('Airtable Input'!$A:$Z, 56, MATCH("Date", 'Airtable Input'!$1:$1, 0)),"YYYY-MM-DD"),"-","/")&amp;" "&amp;INDEX('Airtable Input'!$A:$Z, 56, MATCH("Time_NZST", 'Airtable Input'!$1:$1, 0))),"")</f>
        <v/>
      </c>
      <c r="B56" s="15" t="str">
        <f aca="false">IFERROR(IF(INDEX('Airtable Input'!$A:$Z, 56, MATCH("Caption_EN", 'Airtable Input'!$1:$1, 0))="","",INDEX('Airtable Input'!$A:$Z, 56, MATCH("Caption_EN", 'Airtable Input'!$1:$1, 0))&amp;CHAR(10)&amp;CHAR(10)&amp;INDEX('Airtable Input'!$A:$Z, 56, MATCH("Hashtags_IG", 'Airtable Input'!$1:$1, 0))),"")</f>
        <v/>
      </c>
      <c r="C56" s="15"/>
      <c r="D56" s="15" t="n">
        <f aca="false">IFERROR(INDEX('Airtable Input'!$A:$Z, 56, MATCH("Image_URL", 'Airtable Input'!$1:$1, 0)),"")</f>
        <v>0</v>
      </c>
      <c r="E56" s="15"/>
      <c r="F56" s="15"/>
      <c r="G56" s="15" t="n">
        <f aca="false">IFERROR(INDEX('Airtable Input'!$A:$Z, 56, MATCH("Headline_EN", 'Airtable Input'!$1:$1, 0)),"")</f>
        <v>0</v>
      </c>
      <c r="H56" s="15" t="str">
        <f aca="false">IFERROR(IF(INDEX('Airtable Input'!$A:$Z, 56, MATCH("URL_Organic_UTM", 'Airtable Input'!$1:$1, 0))="","","🔗 Full details: "&amp;INDEX('Airtable Input'!$A:$Z, 56, MATCH("URL_Organic_UTM", 'Airtable Input'!$1:$1, 0))),"")</f>
        <v/>
      </c>
      <c r="I56" s="15" t="str">
        <f aca="false">IFERROR(IF(INDEX('Airtable Input'!$A:$Z, 56, MATCH("Format", 'Airtable Input'!$1:$1, 0))="Reel","Reel",IF(INDEX('Airtable Input'!$A:$Z, 56, MATCH("Format", 'Airtable Input'!$1:$1, 0))="Story","Story","")),"")</f>
        <v/>
      </c>
      <c r="J56" s="15"/>
      <c r="K56" s="15"/>
      <c r="L56" s="15"/>
    </row>
    <row r="57" customFormat="false" ht="15" hidden="false" customHeight="false" outlineLevel="0" collapsed="false">
      <c r="A57" s="15" t="str">
        <f aca="false">IFERROR(IF(INDEX('Airtable Input'!$A:$Z, 57, MATCH("Date", 'Airtable Input'!$1:$1, 0))="","",SUBSTITUTE(TEXT(INDEX('Airtable Input'!$A:$Z, 57, MATCH("Date", 'Airtable Input'!$1:$1, 0)),"YYYY-MM-DD"),"-","/")&amp;" "&amp;INDEX('Airtable Input'!$A:$Z, 57, MATCH("Time_NZST", 'Airtable Input'!$1:$1, 0))),"")</f>
        <v/>
      </c>
      <c r="B57" s="15" t="str">
        <f aca="false">IFERROR(IF(INDEX('Airtable Input'!$A:$Z, 57, MATCH("Caption_EN", 'Airtable Input'!$1:$1, 0))="","",INDEX('Airtable Input'!$A:$Z, 57, MATCH("Caption_EN", 'Airtable Input'!$1:$1, 0))&amp;CHAR(10)&amp;CHAR(10)&amp;INDEX('Airtable Input'!$A:$Z, 57, MATCH("Hashtags_IG", 'Airtable Input'!$1:$1, 0))),"")</f>
        <v/>
      </c>
      <c r="C57" s="15"/>
      <c r="D57" s="15" t="n">
        <f aca="false">IFERROR(INDEX('Airtable Input'!$A:$Z, 57, MATCH("Image_URL", 'Airtable Input'!$1:$1, 0)),"")</f>
        <v>0</v>
      </c>
      <c r="E57" s="15"/>
      <c r="F57" s="15"/>
      <c r="G57" s="15" t="n">
        <f aca="false">IFERROR(INDEX('Airtable Input'!$A:$Z, 57, MATCH("Headline_EN", 'Airtable Input'!$1:$1, 0)),"")</f>
        <v>0</v>
      </c>
      <c r="H57" s="15" t="str">
        <f aca="false">IFERROR(IF(INDEX('Airtable Input'!$A:$Z, 57, MATCH("URL_Organic_UTM", 'Airtable Input'!$1:$1, 0))="","","🔗 Full details: "&amp;INDEX('Airtable Input'!$A:$Z, 57, MATCH("URL_Organic_UTM", 'Airtable Input'!$1:$1, 0))),"")</f>
        <v/>
      </c>
      <c r="I57" s="15" t="str">
        <f aca="false">IFERROR(IF(INDEX('Airtable Input'!$A:$Z, 57, MATCH("Format", 'Airtable Input'!$1:$1, 0))="Reel","Reel",IF(INDEX('Airtable Input'!$A:$Z, 57, MATCH("Format", 'Airtable Input'!$1:$1, 0))="Story","Story","")),"")</f>
        <v/>
      </c>
      <c r="J57" s="15"/>
      <c r="K57" s="15"/>
      <c r="L57" s="15"/>
    </row>
    <row r="58" customFormat="false" ht="15" hidden="false" customHeight="false" outlineLevel="0" collapsed="false">
      <c r="A58" s="15" t="str">
        <f aca="false">IFERROR(IF(INDEX('Airtable Input'!$A:$Z, 58, MATCH("Date", 'Airtable Input'!$1:$1, 0))="","",SUBSTITUTE(TEXT(INDEX('Airtable Input'!$A:$Z, 58, MATCH("Date", 'Airtable Input'!$1:$1, 0)),"YYYY-MM-DD"),"-","/")&amp;" "&amp;INDEX('Airtable Input'!$A:$Z, 58, MATCH("Time_NZST", 'Airtable Input'!$1:$1, 0))),"")</f>
        <v/>
      </c>
      <c r="B58" s="15" t="str">
        <f aca="false">IFERROR(IF(INDEX('Airtable Input'!$A:$Z, 58, MATCH("Caption_EN", 'Airtable Input'!$1:$1, 0))="","",INDEX('Airtable Input'!$A:$Z, 58, MATCH("Caption_EN", 'Airtable Input'!$1:$1, 0))&amp;CHAR(10)&amp;CHAR(10)&amp;INDEX('Airtable Input'!$A:$Z, 58, MATCH("Hashtags_IG", 'Airtable Input'!$1:$1, 0))),"")</f>
        <v/>
      </c>
      <c r="C58" s="15"/>
      <c r="D58" s="15" t="n">
        <f aca="false">IFERROR(INDEX('Airtable Input'!$A:$Z, 58, MATCH("Image_URL", 'Airtable Input'!$1:$1, 0)),"")</f>
        <v>0</v>
      </c>
      <c r="E58" s="15"/>
      <c r="F58" s="15"/>
      <c r="G58" s="15" t="n">
        <f aca="false">IFERROR(INDEX('Airtable Input'!$A:$Z, 58, MATCH("Headline_EN", 'Airtable Input'!$1:$1, 0)),"")</f>
        <v>0</v>
      </c>
      <c r="H58" s="15" t="str">
        <f aca="false">IFERROR(IF(INDEX('Airtable Input'!$A:$Z, 58, MATCH("URL_Organic_UTM", 'Airtable Input'!$1:$1, 0))="","","🔗 Full details: "&amp;INDEX('Airtable Input'!$A:$Z, 58, MATCH("URL_Organic_UTM", 'Airtable Input'!$1:$1, 0))),"")</f>
        <v/>
      </c>
      <c r="I58" s="15" t="str">
        <f aca="false">IFERROR(IF(INDEX('Airtable Input'!$A:$Z, 58, MATCH("Format", 'Airtable Input'!$1:$1, 0))="Reel","Reel",IF(INDEX('Airtable Input'!$A:$Z, 58, MATCH("Format", 'Airtable Input'!$1:$1, 0))="Story","Story","")),"")</f>
        <v/>
      </c>
      <c r="J58" s="15"/>
      <c r="K58" s="15"/>
      <c r="L58" s="15"/>
    </row>
    <row r="59" customFormat="false" ht="15" hidden="false" customHeight="false" outlineLevel="0" collapsed="false">
      <c r="A59" s="15" t="str">
        <f aca="false">IFERROR(IF(INDEX('Airtable Input'!$A:$Z, 59, MATCH("Date", 'Airtable Input'!$1:$1, 0))="","",SUBSTITUTE(TEXT(INDEX('Airtable Input'!$A:$Z, 59, MATCH("Date", 'Airtable Input'!$1:$1, 0)),"YYYY-MM-DD"),"-","/")&amp;" "&amp;INDEX('Airtable Input'!$A:$Z, 59, MATCH("Time_NZST", 'Airtable Input'!$1:$1, 0))),"")</f>
        <v/>
      </c>
      <c r="B59" s="15" t="str">
        <f aca="false">IFERROR(IF(INDEX('Airtable Input'!$A:$Z, 59, MATCH("Caption_EN", 'Airtable Input'!$1:$1, 0))="","",INDEX('Airtable Input'!$A:$Z, 59, MATCH("Caption_EN", 'Airtable Input'!$1:$1, 0))&amp;CHAR(10)&amp;CHAR(10)&amp;INDEX('Airtable Input'!$A:$Z, 59, MATCH("Hashtags_IG", 'Airtable Input'!$1:$1, 0))),"")</f>
        <v/>
      </c>
      <c r="C59" s="15"/>
      <c r="D59" s="15" t="n">
        <f aca="false">IFERROR(INDEX('Airtable Input'!$A:$Z, 59, MATCH("Image_URL", 'Airtable Input'!$1:$1, 0)),"")</f>
        <v>0</v>
      </c>
      <c r="E59" s="15"/>
      <c r="F59" s="15"/>
      <c r="G59" s="15" t="n">
        <f aca="false">IFERROR(INDEX('Airtable Input'!$A:$Z, 59, MATCH("Headline_EN", 'Airtable Input'!$1:$1, 0)),"")</f>
        <v>0</v>
      </c>
      <c r="H59" s="15" t="str">
        <f aca="false">IFERROR(IF(INDEX('Airtable Input'!$A:$Z, 59, MATCH("URL_Organic_UTM", 'Airtable Input'!$1:$1, 0))="","","🔗 Full details: "&amp;INDEX('Airtable Input'!$A:$Z, 59, MATCH("URL_Organic_UTM", 'Airtable Input'!$1:$1, 0))),"")</f>
        <v/>
      </c>
      <c r="I59" s="15" t="str">
        <f aca="false">IFERROR(IF(INDEX('Airtable Input'!$A:$Z, 59, MATCH("Format", 'Airtable Input'!$1:$1, 0))="Reel","Reel",IF(INDEX('Airtable Input'!$A:$Z, 59, MATCH("Format", 'Airtable Input'!$1:$1, 0))="Story","Story","")),"")</f>
        <v/>
      </c>
      <c r="J59" s="15"/>
      <c r="K59" s="15"/>
      <c r="L59" s="15"/>
    </row>
    <row r="60" customFormat="false" ht="15" hidden="false" customHeight="false" outlineLevel="0" collapsed="false">
      <c r="A60" s="15" t="str">
        <f aca="false">IFERROR(IF(INDEX('Airtable Input'!$A:$Z, 60, MATCH("Date", 'Airtable Input'!$1:$1, 0))="","",SUBSTITUTE(TEXT(INDEX('Airtable Input'!$A:$Z, 60, MATCH("Date", 'Airtable Input'!$1:$1, 0)),"YYYY-MM-DD"),"-","/")&amp;" "&amp;INDEX('Airtable Input'!$A:$Z, 60, MATCH("Time_NZST", 'Airtable Input'!$1:$1, 0))),"")</f>
        <v/>
      </c>
      <c r="B60" s="15" t="str">
        <f aca="false">IFERROR(IF(INDEX('Airtable Input'!$A:$Z, 60, MATCH("Caption_EN", 'Airtable Input'!$1:$1, 0))="","",INDEX('Airtable Input'!$A:$Z, 60, MATCH("Caption_EN", 'Airtable Input'!$1:$1, 0))&amp;CHAR(10)&amp;CHAR(10)&amp;INDEX('Airtable Input'!$A:$Z, 60, MATCH("Hashtags_IG", 'Airtable Input'!$1:$1, 0))),"")</f>
        <v/>
      </c>
      <c r="C60" s="15"/>
      <c r="D60" s="15" t="n">
        <f aca="false">IFERROR(INDEX('Airtable Input'!$A:$Z, 60, MATCH("Image_URL", 'Airtable Input'!$1:$1, 0)),"")</f>
        <v>0</v>
      </c>
      <c r="E60" s="15"/>
      <c r="F60" s="15"/>
      <c r="G60" s="15" t="n">
        <f aca="false">IFERROR(INDEX('Airtable Input'!$A:$Z, 60, MATCH("Headline_EN", 'Airtable Input'!$1:$1, 0)),"")</f>
        <v>0</v>
      </c>
      <c r="H60" s="15" t="str">
        <f aca="false">IFERROR(IF(INDEX('Airtable Input'!$A:$Z, 60, MATCH("URL_Organic_UTM", 'Airtable Input'!$1:$1, 0))="","","🔗 Full details: "&amp;INDEX('Airtable Input'!$A:$Z, 60, MATCH("URL_Organic_UTM", 'Airtable Input'!$1:$1, 0))),"")</f>
        <v/>
      </c>
      <c r="I60" s="15" t="str">
        <f aca="false">IFERROR(IF(INDEX('Airtable Input'!$A:$Z, 60, MATCH("Format", 'Airtable Input'!$1:$1, 0))="Reel","Reel",IF(INDEX('Airtable Input'!$A:$Z, 60, MATCH("Format", 'Airtable Input'!$1:$1, 0))="Story","Story","")),"")</f>
        <v/>
      </c>
      <c r="J60" s="15"/>
      <c r="K60" s="15"/>
      <c r="L6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2026-04-24T11:02:02Z</dcterms:created>
  <dc:creator>openpyxl</dc:creator>
  <dc:description/>
  <dc:language>en-US</dc:language>
  <cp:lastModifiedBy/>
  <dcterms:modified xsi:type="dcterms:W3CDTF">2026-04-24T11:02:02Z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